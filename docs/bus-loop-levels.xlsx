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er" sheetId="1" state="visible" r:id="rId1"/>
    <sheet name="Level" sheetId="2" state="visible" r:id="rId2"/>
    <sheet name="Theo độ kh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3" fontId="3" fillId="0" borderId="1" pivotButton="0" quotePrefix="0" xfId="0"/>
    <xf numFmtId="164" fontId="3" fillId="0" borderId="0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Bus Loop — Blocker và cơ chế</t>
        </is>
      </c>
    </row>
    <row r="3">
      <c r="A3" s="2" t="inlineStr">
        <is>
          <t>Blocker</t>
        </is>
      </c>
      <c r="B3" s="2" t="inlineStr">
        <is>
          <t>Level giới thiệu</t>
        </is>
      </c>
      <c r="C3" s="2" t="inlineStr">
        <is>
          <t>Cách hoạt động</t>
        </is>
      </c>
      <c r="D3" s="2" t="inlineStr">
        <is>
          <t>Số level dùng</t>
        </is>
      </c>
      <c r="E3" s="2" t="inlineStr">
        <is>
          <t>Tổng số lượng trong 50 level</t>
        </is>
      </c>
      <c r="F3" s="2" t="inlineStr">
        <is>
          <t>Các level dùng</t>
        </is>
      </c>
    </row>
    <row r="4">
      <c r="A4" s="3" t="inlineStr">
        <is>
          <t>Xe "?" (Mystery)</t>
        </is>
      </c>
      <c r="B4" s="4" t="n">
        <v>6</v>
      </c>
      <c r="C4" s="3" t="inlineStr">
        <is>
          <t>Xe xám có dấu "?", giấu màu cho tới khi lên hàng đầu.</t>
        </is>
      </c>
      <c r="D4" s="4">
        <f>COUNTIF(Level!N2:N51,"&gt;0")</f>
        <v/>
      </c>
      <c r="E4" s="4">
        <f>SUM(Level!N2:N51)</f>
        <v/>
      </c>
      <c r="F4" s="3" t="inlineStr">
        <is>
          <t>6, 7, 8, 9, 10, 11, 12, 14, 15, 16, 17, 18, 20, 21, 22, 23, 24, 26, 27, 28, 29, 30, 31, 32, 33, 34, 35, 36, 37, 38, 39, 40, 41, 42, 43, 44, 45, 46, 47, 48, 49, 50</t>
        </is>
      </c>
    </row>
    <row r="5">
      <c r="A5" s="3" t="inlineStr">
        <is>
          <t>Hầm (Tunnel)</t>
        </is>
      </c>
      <c r="B5" s="4" t="n">
        <v>11</v>
      </c>
      <c r="C5" s="3" t="inlineStr">
        <is>
          <t>Đoạn đường chui đất ở map vòng: một cửa vào, một cửa ra; xe không đón khách khi dưới đất. Khách phía trên đổ xuống túi qua hầm.</t>
        </is>
      </c>
      <c r="D5" s="4">
        <f>COUNTIF(Level!O2:O51,"&gt;0")</f>
        <v/>
      </c>
      <c r="E5" s="4">
        <f>SUM(Level!O2:O51)</f>
        <v/>
      </c>
      <c r="F5" s="3" t="inlineStr">
        <is>
          <t>11, 13, 14, 24, 28, 30, 33, 45, 50</t>
        </is>
      </c>
    </row>
    <row r="6">
      <c r="A6" s="3" t="inlineStr">
        <is>
          <t>Lock &amp; Key</t>
        </is>
      </c>
      <c r="B6" s="4" t="n">
        <v>16</v>
      </c>
      <c r="C6" s="3" t="inlineStr">
        <is>
          <t>Xe mang chìa xuất bến thì chìa về bộ đếm; xe bị khoá lên hàng đầu thì tự dùng một chìa để mở. (Đếm theo số xe khoá.)</t>
        </is>
      </c>
      <c r="D6" s="4">
        <f>COUNTIF(Level!P2:P51,"&gt;0")</f>
        <v/>
      </c>
      <c r="E6" s="4">
        <f>SUM(Level!P2:P51)</f>
        <v/>
      </c>
      <c r="F6" s="3" t="inlineStr">
        <is>
          <t>16, 17, 18, 19, 20, 21, 22, 23, 24, 25, 26, 27, 28, 29, 30, 31, 32, 33, 34, 35, 36, 37, 38, 39, 40, 41, 42, 43, 44, 45, 46, 47, 48, 49, 50</t>
        </is>
      </c>
    </row>
    <row r="7">
      <c r="A7" s="3" t="inlineStr">
        <is>
          <t>Xe đóng băng (Frozen)</t>
        </is>
      </c>
      <c r="B7" s="4" t="n">
        <v>21</v>
      </c>
      <c r="C7" s="3" t="inlineStr">
        <is>
          <t>Xe hàng đầu bọc băng có số 3/6/9; mỗi xe khác xuất bến trừ 1, về 0 thì tan.</t>
        </is>
      </c>
      <c r="D7" s="4">
        <f>COUNTIF(Level!R2:R51,"&gt;0")</f>
        <v/>
      </c>
      <c r="E7" s="4">
        <f>SUM(Level!R2:R51)</f>
        <v/>
      </c>
      <c r="F7" s="3" t="inlineStr">
        <is>
          <t>21, 22, 23, 24, 25, 26, 27, 28, 29, 30, 31, 32, 33, 34, 35, 36, 37, 38, 39, 40, 41, 42, 43, 44, 45, 46, 47, 48, 49, 50</t>
        </is>
      </c>
    </row>
    <row r="8">
      <c r="A8" s="3" t="inlineStr">
        <is>
          <t>Xe nối dây (Roped)</t>
        </is>
      </c>
      <c r="B8" s="4" t="n">
        <v>26</v>
      </c>
      <c r="C8" s="3" t="inlineStr">
        <is>
          <t>Hai xe buộc dây phải cùng ở hàng đầu và cần 2 slot trống để xuất bến cùng nhau. (Đếm theo cặp.)</t>
        </is>
      </c>
      <c r="D8" s="4">
        <f>COUNTIF(Level!S2:S51,"&gt;0")</f>
        <v/>
      </c>
      <c r="E8" s="4">
        <f>SUM(Level!S2:S51)</f>
        <v/>
      </c>
      <c r="F8" s="3" t="inlineStr">
        <is>
          <t>26, 27, 28, 29, 30, 31, 32, 33, 34, 35, 36, 37, 38, 39, 40, 41, 42, 43, 44, 45, 46, 47, 48, 49, 50</t>
        </is>
      </c>
    </row>
    <row r="9">
      <c r="A9" s="5" t="inlineStr">
        <is>
          <t>Tổng số blocker</t>
        </is>
      </c>
      <c r="B9" s="5">
        <f>COUNTA(A4:A8)</f>
        <v/>
      </c>
    </row>
    <row r="11">
      <c r="A11" s="6" t="inlineStr">
        <is>
          <t>Đã bỏ: thùng gỗ (Wooden Crate), khách đóng băng (Frozen Passenger).</t>
        </is>
      </c>
    </row>
    <row r="13">
      <c r="A13" s="7" t="inlineStr">
        <is>
          <t>Cơ chế khác (không phải blocker)</t>
        </is>
      </c>
    </row>
    <row r="14">
      <c r="A14" s="2" t="inlineStr">
        <is>
          <t>Cơ chế</t>
        </is>
      </c>
      <c r="B14" s="2" t="inlineStr">
        <is>
          <t>Level</t>
        </is>
      </c>
      <c r="C14" s="2" t="inlineStr">
        <is>
          <t>Mô tả</t>
        </is>
      </c>
    </row>
    <row r="15">
      <c r="A15" s="8" t="inlineStr">
        <is>
          <t>Gộp 3 xe cùng màu</t>
        </is>
      </c>
      <c r="B15" s="8" t="inlineStr">
        <is>
          <t>2</t>
        </is>
      </c>
      <c r="C15" s="8" t="inlineStr">
        <is>
          <t>3 xe cùng màu trên đường gộp thành xe 2–3 tầng, chiếm 1 slot.</t>
        </is>
      </c>
    </row>
    <row r="16">
      <c r="A16" s="8" t="inlineStr">
        <is>
          <t>Nút + Slot</t>
        </is>
      </c>
      <c r="B16" s="8" t="inlineStr">
        <is>
          <t>2</t>
        </is>
      </c>
      <c r="C16" s="8" t="inlineStr">
        <is>
          <t>Mặc định 6 xe trên đường, + thêm miễn phí tới 8. Gợi ý tay chỉ lần đầu bị kẹt.</t>
        </is>
      </c>
    </row>
    <row r="17">
      <c r="A17" s="8" t="inlineStr">
        <is>
          <t>Booster Clear / Magnet / Shuffle</t>
        </is>
      </c>
      <c r="B17" s="8" t="inlineStr">
        <is>
          <t>5 / 7 / 9 (bài dạy)</t>
        </is>
      </c>
      <c r="C17" s="8" t="inlineStr">
        <is>
          <t>Mỗi loại 3 lượt, hết thì nhận thêm 3 miễn phí.</t>
        </is>
      </c>
    </row>
    <row r="18">
      <c r="A18" s="8" t="inlineStr">
        <is>
          <t>Revive</t>
        </is>
      </c>
      <c r="B18" s="8" t="inlineStr">
        <is>
          <t>—</t>
        </is>
      </c>
      <c r="C18" s="8" t="inlineStr">
        <is>
          <t>Mọi xe trên đường đầy khách ngay, khách cùng màu trên board biến mất. Tối đa 2 lần/ván.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22" customWidth="1" min="4" max="4"/>
    <col width="10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8" customWidth="1" min="11" max="11"/>
    <col width="60" customWidth="1" min="12" max="12"/>
    <col width="8" customWidth="1" min="13" max="13"/>
    <col width="8" customWidth="1" min="14" max="14"/>
    <col width="7" customWidth="1" min="15" max="15"/>
    <col width="8" customWidth="1" min="16" max="16"/>
    <col width="9" customWidth="1" min="17" max="17"/>
    <col width="10" customWidth="1" min="18" max="18"/>
    <col width="10" customWidth="1" min="19" max="19"/>
    <col width="34" customWidth="1" min="20" max="20"/>
  </cols>
  <sheetData>
    <row r="1" ht="32" customHeight="1">
      <c r="A1" s="2" t="inlineStr">
        <is>
          <t>Level</t>
        </is>
      </c>
      <c r="B1" s="2" t="inlineStr">
        <is>
          <t>Tranh</t>
        </is>
      </c>
      <c r="C1" s="2" t="inlineStr">
        <is>
          <t>Độ khó</t>
        </is>
      </c>
      <c r="D1" s="2" t="inlineStr">
        <is>
          <t>Kiểu đường</t>
        </is>
      </c>
      <c r="E1" s="2" t="inlineStr">
        <is>
          <t>Theme</t>
        </is>
      </c>
      <c r="F1" s="2" t="inlineStr">
        <is>
          <t>Số cột xe</t>
        </is>
      </c>
      <c r="G1" s="2" t="inlineStr">
        <is>
          <t>Slot mặc định</t>
        </is>
      </c>
      <c r="H1" s="2" t="inlineStr">
        <is>
          <t>Khách trên board</t>
        </is>
      </c>
      <c r="I1" s="2" t="inlineStr">
        <is>
          <t>Khách ẩn phía trên</t>
        </is>
      </c>
      <c r="J1" s="2" t="inlineStr">
        <is>
          <t>Tổng số khách</t>
        </is>
      </c>
      <c r="K1" s="2" t="inlineStr">
        <is>
          <t>Số màu</t>
        </is>
      </c>
      <c r="L1" s="2" t="inlineStr">
        <is>
          <t>Số khách theo màu</t>
        </is>
      </c>
      <c r="M1" s="2" t="inlineStr">
        <is>
          <t>Số xe</t>
        </is>
      </c>
      <c r="N1" s="2" t="inlineStr">
        <is>
          <t>Xe "?"</t>
        </is>
      </c>
      <c r="O1" s="2" t="inlineStr">
        <is>
          <t>Hầm</t>
        </is>
      </c>
      <c r="P1" s="2" t="inlineStr">
        <is>
          <t>Xe khoá</t>
        </is>
      </c>
      <c r="Q1" s="2" t="inlineStr">
        <is>
          <t>Xe mang chìa</t>
        </is>
      </c>
      <c r="R1" s="2" t="inlineStr">
        <is>
          <t>Xe đóng băng</t>
        </is>
      </c>
      <c r="S1" s="2" t="inlineStr">
        <is>
          <t>Cặp xe nối dây</t>
        </is>
      </c>
      <c r="T1" s="2" t="inlineStr">
        <is>
          <t>Blocker đang dùng</t>
        </is>
      </c>
    </row>
    <row r="2">
      <c r="A2" s="9" t="n">
        <v>1</v>
      </c>
      <c r="B2" s="10" t="inlineStr">
        <is>
          <t>Red Heart</t>
        </is>
      </c>
      <c r="C2" s="11" t="inlineStr">
        <is>
          <t>Dễ</t>
        </is>
      </c>
      <c r="D2" s="10" t="inlineStr">
        <is>
          <t>Chữ U giữa</t>
        </is>
      </c>
      <c r="E2" s="9" t="inlineStr">
        <is>
          <t>Lavender</t>
        </is>
      </c>
      <c r="F2" s="9" t="n">
        <v>4</v>
      </c>
      <c r="G2" s="9" t="n">
        <v>6</v>
      </c>
      <c r="H2" s="12" t="n">
        <v>1360</v>
      </c>
      <c r="I2" s="12" t="n">
        <v>237</v>
      </c>
      <c r="J2" s="12">
        <f>H2+I2</f>
        <v/>
      </c>
      <c r="K2" s="9" t="n">
        <v>5</v>
      </c>
      <c r="L2" s="10" t="inlineStr">
        <is>
          <t>Pink 690, Red 316, Purple 288, White 175, Black 128</t>
        </is>
      </c>
      <c r="M2" s="12" t="n">
        <v>10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10" t="inlineStr">
        <is>
          <t>—</t>
        </is>
      </c>
    </row>
    <row r="3">
      <c r="A3" s="9" t="n">
        <v>2</v>
      </c>
      <c r="B3" s="10" t="inlineStr">
        <is>
          <t>Sweet Banana</t>
        </is>
      </c>
      <c r="C3" s="11" t="inlineStr">
        <is>
          <t>Dễ</t>
        </is>
      </c>
      <c r="D3" s="10" t="inlineStr">
        <is>
          <t>Chữ U giữa</t>
        </is>
      </c>
      <c r="E3" s="9" t="inlineStr">
        <is>
          <t>Lavender</t>
        </is>
      </c>
      <c r="F3" s="9" t="n">
        <v>4</v>
      </c>
      <c r="G3" s="9" t="n">
        <v>6</v>
      </c>
      <c r="H3" s="12" t="n">
        <v>1360</v>
      </c>
      <c r="I3" s="12" t="n">
        <v>474</v>
      </c>
      <c r="J3" s="12">
        <f>H3+I3</f>
        <v/>
      </c>
      <c r="K3" s="9" t="n">
        <v>7</v>
      </c>
      <c r="L3" s="10" t="inlineStr">
        <is>
          <t>Cyan 601, White 581, Blue 332, Black 157, Yellow 94, Orange 56, Brown 13</t>
        </is>
      </c>
      <c r="M3" s="12" t="n">
        <v>12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10" t="inlineStr">
        <is>
          <t>—</t>
        </is>
      </c>
    </row>
    <row r="4">
      <c r="A4" s="9" t="n">
        <v>3</v>
      </c>
      <c r="B4" s="10" t="inlineStr">
        <is>
          <t>Lucky Star</t>
        </is>
      </c>
      <c r="C4" s="11" t="inlineStr">
        <is>
          <t>Dễ</t>
        </is>
      </c>
      <c r="D4" s="10" t="inlineStr">
        <is>
          <t>Chữ U giữa</t>
        </is>
      </c>
      <c r="E4" s="9" t="inlineStr">
        <is>
          <t>Lavender</t>
        </is>
      </c>
      <c r="F4" s="9" t="n">
        <v>4</v>
      </c>
      <c r="G4" s="9" t="n">
        <v>6</v>
      </c>
      <c r="H4" s="12" t="n">
        <v>1360</v>
      </c>
      <c r="I4" s="12" t="n">
        <v>711</v>
      </c>
      <c r="J4" s="12">
        <f>H4+I4</f>
        <v/>
      </c>
      <c r="K4" s="9" t="n">
        <v>8</v>
      </c>
      <c r="L4" s="10" t="inlineStr">
        <is>
          <t>Cyan 660, Blue 627, Purple 345, Black 189, Yellow 149, Orange 84, White 12, Pink 5</t>
        </is>
      </c>
      <c r="M4" s="12" t="n">
        <v>14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10" t="inlineStr">
        <is>
          <t>—</t>
        </is>
      </c>
    </row>
    <row r="5">
      <c r="A5" s="9" t="n">
        <v>4</v>
      </c>
      <c r="B5" s="10" t="inlineStr">
        <is>
          <t>Leaping Dolphin</t>
        </is>
      </c>
      <c r="C5" s="11" t="inlineStr">
        <is>
          <t>Dễ</t>
        </is>
      </c>
      <c r="D5" s="10" t="inlineStr">
        <is>
          <t>Chữ U giữa</t>
        </is>
      </c>
      <c r="E5" s="9" t="inlineStr">
        <is>
          <t>Lavender</t>
        </is>
      </c>
      <c r="F5" s="9" t="n">
        <v>4</v>
      </c>
      <c r="G5" s="9" t="n">
        <v>6</v>
      </c>
      <c r="H5" s="12" t="n">
        <v>1371</v>
      </c>
      <c r="I5" s="12" t="n">
        <v>5135</v>
      </c>
      <c r="J5" s="12">
        <f>H5+I5</f>
        <v/>
      </c>
      <c r="K5" s="9" t="n">
        <v>5</v>
      </c>
      <c r="L5" s="10" t="inlineStr">
        <is>
          <t>White 3817, Blue 1295, Black 755, Purple 446, Cyan 193</t>
        </is>
      </c>
      <c r="M5" s="12" t="n">
        <v>39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10" t="inlineStr">
        <is>
          <t>—</t>
        </is>
      </c>
    </row>
    <row r="6">
      <c r="A6" s="9" t="n">
        <v>5</v>
      </c>
      <c r="B6" s="10" t="inlineStr">
        <is>
          <t>Twin Cherries</t>
        </is>
      </c>
      <c r="C6" s="13" t="inlineStr">
        <is>
          <t>Thường</t>
        </is>
      </c>
      <c r="D6" s="10" t="inlineStr">
        <is>
          <t>Hai bướu (trái thấp)</t>
        </is>
      </c>
      <c r="E6" s="9" t="inlineStr">
        <is>
          <t>Lavender</t>
        </is>
      </c>
      <c r="F6" s="9" t="n">
        <v>4</v>
      </c>
      <c r="G6" s="9" t="n">
        <v>6</v>
      </c>
      <c r="H6" s="12" t="n">
        <v>1293</v>
      </c>
      <c r="I6" s="12" t="n">
        <v>869</v>
      </c>
      <c r="J6" s="12">
        <f>H6+I6</f>
        <v/>
      </c>
      <c r="K6" s="9" t="n">
        <v>7</v>
      </c>
      <c r="L6" s="10" t="inlineStr">
        <is>
          <t>White 583, Pink 519, Green 423, Black 298, Red 286, Brown 31, Yellow 22</t>
        </is>
      </c>
      <c r="M6" s="12" t="n">
        <v>15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10" t="inlineStr">
        <is>
          <t>—</t>
        </is>
      </c>
    </row>
    <row r="7">
      <c r="A7" s="9" t="n">
        <v>6</v>
      </c>
      <c r="B7" s="10" t="inlineStr">
        <is>
          <t>Party Balloons</t>
        </is>
      </c>
      <c r="C7" s="11" t="inlineStr">
        <is>
          <t>Dễ</t>
        </is>
      </c>
      <c r="D7" s="10" t="inlineStr">
        <is>
          <t>Hai bướu (phải thấp)</t>
        </is>
      </c>
      <c r="E7" s="9" t="inlineStr">
        <is>
          <t>Sand</t>
        </is>
      </c>
      <c r="F7" s="9" t="n">
        <v>4</v>
      </c>
      <c r="G7" s="9" t="n">
        <v>6</v>
      </c>
      <c r="H7" s="12" t="n">
        <v>1293</v>
      </c>
      <c r="I7" s="12" t="n">
        <v>869</v>
      </c>
      <c r="J7" s="12">
        <f>H7+I7</f>
        <v/>
      </c>
      <c r="K7" s="9" t="n">
        <v>6</v>
      </c>
      <c r="L7" s="10" t="inlineStr">
        <is>
          <t>Cyan 895, Blue 504, Black 252, White 246, Yellow 138, Red 127</t>
        </is>
      </c>
      <c r="M7" s="12" t="n">
        <v>14</v>
      </c>
      <c r="N7" s="9" t="n">
        <v>5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10" t="inlineStr">
        <is>
          <t>Xe "?"</t>
        </is>
      </c>
    </row>
    <row r="8">
      <c r="A8" s="9" t="n">
        <v>7</v>
      </c>
      <c r="B8" s="10" t="inlineStr">
        <is>
          <t>Happy Duck</t>
        </is>
      </c>
      <c r="C8" s="13" t="inlineStr">
        <is>
          <t>Thường</t>
        </is>
      </c>
      <c r="D8" s="10" t="inlineStr">
        <is>
          <t>Chữ U giữa</t>
        </is>
      </c>
      <c r="E8" s="9" t="inlineStr">
        <is>
          <t>Sand</t>
        </is>
      </c>
      <c r="F8" s="9" t="n">
        <v>4</v>
      </c>
      <c r="G8" s="9" t="n">
        <v>6</v>
      </c>
      <c r="H8" s="12" t="n">
        <v>1371</v>
      </c>
      <c r="I8" s="12" t="n">
        <v>948</v>
      </c>
      <c r="J8" s="12">
        <f>H8+I8</f>
        <v/>
      </c>
      <c r="K8" s="9" t="n">
        <v>8</v>
      </c>
      <c r="L8" s="10" t="inlineStr">
        <is>
          <t>Blue 647, Cyan 512, Green 433, Yellow 416, Black 171, Orange 116, White 13, Pink 11</t>
        </is>
      </c>
      <c r="M8" s="12" t="n">
        <v>16</v>
      </c>
      <c r="N8" s="9" t="n">
        <v>1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10" t="inlineStr">
        <is>
          <t>Xe "?"</t>
        </is>
      </c>
    </row>
    <row r="9">
      <c r="A9" s="9" t="n">
        <v>8</v>
      </c>
      <c r="B9" s="10" t="inlineStr">
        <is>
          <t>Sunny Smile</t>
        </is>
      </c>
      <c r="C9" s="11" t="inlineStr">
        <is>
          <t>Dễ</t>
        </is>
      </c>
      <c r="D9" s="10" t="inlineStr">
        <is>
          <t>Chữ U giữa</t>
        </is>
      </c>
      <c r="E9" s="9" t="inlineStr">
        <is>
          <t>Sand</t>
        </is>
      </c>
      <c r="F9" s="9" t="n">
        <v>4</v>
      </c>
      <c r="G9" s="9" t="n">
        <v>6</v>
      </c>
      <c r="H9" s="12" t="n">
        <v>1371</v>
      </c>
      <c r="I9" s="12" t="n">
        <v>948</v>
      </c>
      <c r="J9" s="12">
        <f>H9+I9</f>
        <v/>
      </c>
      <c r="K9" s="9" t="n">
        <v>8</v>
      </c>
      <c r="L9" s="10" t="inlineStr">
        <is>
          <t>Orange 706, Blue 528, Cyan 475, Black 316, Yellow 242, White 19, Red 18, Pink 15</t>
        </is>
      </c>
      <c r="M9" s="12" t="n">
        <v>18</v>
      </c>
      <c r="N9" s="9" t="n">
        <v>2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10" t="inlineStr">
        <is>
          <t>Xe "?"</t>
        </is>
      </c>
    </row>
    <row r="10">
      <c r="A10" s="9" t="n">
        <v>9</v>
      </c>
      <c r="B10" s="10" t="inlineStr">
        <is>
          <t>Melon Slice</t>
        </is>
      </c>
      <c r="C10" s="13" t="inlineStr">
        <is>
          <t>Thường</t>
        </is>
      </c>
      <c r="D10" s="10" t="inlineStr">
        <is>
          <t>Chữ U giữa</t>
        </is>
      </c>
      <c r="E10" s="9" t="inlineStr">
        <is>
          <t>Sand</t>
        </is>
      </c>
      <c r="F10" s="9" t="n">
        <v>4</v>
      </c>
      <c r="G10" s="9" t="n">
        <v>6</v>
      </c>
      <c r="H10" s="12" t="n">
        <v>1371</v>
      </c>
      <c r="I10" s="12" t="n">
        <v>948</v>
      </c>
      <c r="J10" s="12">
        <f>H10+I10</f>
        <v/>
      </c>
      <c r="K10" s="9" t="n">
        <v>5</v>
      </c>
      <c r="L10" s="10" t="inlineStr">
        <is>
          <t>White 610, Yellow 592, Green 529, Red 337, Black 251</t>
        </is>
      </c>
      <c r="M10" s="12" t="n">
        <v>15</v>
      </c>
      <c r="N10" s="9" t="n">
        <v>2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10" t="inlineStr">
        <is>
          <t>Xe "?"</t>
        </is>
      </c>
    </row>
    <row r="11">
      <c r="A11" s="9" t="n">
        <v>10</v>
      </c>
      <c r="B11" s="10" t="inlineStr">
        <is>
          <t>Eiffel Tower</t>
        </is>
      </c>
      <c r="C11" s="14" t="inlineStr">
        <is>
          <t>Khó</t>
        </is>
      </c>
      <c r="D11" s="10" t="inlineStr">
        <is>
          <t>Chữ T</t>
        </is>
      </c>
      <c r="E11" s="9" t="inlineStr">
        <is>
          <t>Mint</t>
        </is>
      </c>
      <c r="F11" s="9" t="n">
        <v>5</v>
      </c>
      <c r="G11" s="9" t="n">
        <v>6</v>
      </c>
      <c r="H11" s="12" t="n">
        <v>1148</v>
      </c>
      <c r="I11" s="12" t="n">
        <v>1343</v>
      </c>
      <c r="J11" s="12">
        <f>H11+I11</f>
        <v/>
      </c>
      <c r="K11" s="9" t="n">
        <v>6</v>
      </c>
      <c r="L11" s="10" t="inlineStr">
        <is>
          <t>Purple 684, Pink 649, Yellow 385, Orange 316, Black 297, White 160</t>
        </is>
      </c>
      <c r="M11" s="12" t="n">
        <v>18</v>
      </c>
      <c r="N11" s="9" t="n">
        <v>3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10" t="inlineStr">
        <is>
          <t>Xe "?"</t>
        </is>
      </c>
    </row>
    <row r="12">
      <c r="A12" s="9" t="n">
        <v>11</v>
      </c>
      <c r="B12" s="10" t="inlineStr">
        <is>
          <t>Lady Bug</t>
        </is>
      </c>
      <c r="C12" s="11" t="inlineStr">
        <is>
          <t>Dễ</t>
        </is>
      </c>
      <c r="D12" s="10" t="inlineStr">
        <is>
          <t>Vòng hộp + hầm</t>
        </is>
      </c>
      <c r="E12" s="9" t="inlineStr">
        <is>
          <t>Mint</t>
        </is>
      </c>
      <c r="F12" s="9" t="n">
        <v>4</v>
      </c>
      <c r="G12" s="9" t="n">
        <v>6</v>
      </c>
      <c r="H12" s="12" t="n">
        <v>1401</v>
      </c>
      <c r="I12" s="12" t="n">
        <v>1027</v>
      </c>
      <c r="J12" s="12">
        <f>H12+I12</f>
        <v/>
      </c>
      <c r="K12" s="9" t="n">
        <v>5</v>
      </c>
      <c r="L12" s="10" t="inlineStr">
        <is>
          <t>Green 889, Yellow 727, Red 434, Black 368, White 10</t>
        </is>
      </c>
      <c r="M12" s="12" t="n">
        <v>15</v>
      </c>
      <c r="N12" s="9" t="n">
        <v>1</v>
      </c>
      <c r="O12" s="9" t="n">
        <v>1</v>
      </c>
      <c r="P12" s="9" t="n">
        <v>0</v>
      </c>
      <c r="Q12" s="9" t="n">
        <v>0</v>
      </c>
      <c r="R12" s="9" t="n">
        <v>0</v>
      </c>
      <c r="S12" s="9" t="n">
        <v>0</v>
      </c>
      <c r="T12" s="10" t="inlineStr">
        <is>
          <t>Xe "?", Hầm</t>
        </is>
      </c>
    </row>
    <row r="13">
      <c r="A13" s="9" t="n">
        <v>12</v>
      </c>
      <c r="B13" s="10" t="inlineStr">
        <is>
          <t>Gold Fish</t>
        </is>
      </c>
      <c r="C13" s="13" t="inlineStr">
        <is>
          <t>Thường</t>
        </is>
      </c>
      <c r="D13" s="10" t="inlineStr">
        <is>
          <t>Chữ U giữa</t>
        </is>
      </c>
      <c r="E13" s="9" t="inlineStr">
        <is>
          <t>Mint</t>
        </is>
      </c>
      <c r="F13" s="9" t="n">
        <v>4</v>
      </c>
      <c r="G13" s="9" t="n">
        <v>6</v>
      </c>
      <c r="H13" s="12" t="n">
        <v>1371</v>
      </c>
      <c r="I13" s="12" t="n">
        <v>1027</v>
      </c>
      <c r="J13" s="12">
        <f>H13+I13</f>
        <v/>
      </c>
      <c r="K13" s="9" t="n">
        <v>7</v>
      </c>
      <c r="L13" s="10" t="inlineStr">
        <is>
          <t>Blue 794, Cyan 622, Black 324, Orange 299, White 185, Yellow 148, Red 26</t>
        </is>
      </c>
      <c r="M13" s="12" t="n">
        <v>14</v>
      </c>
      <c r="N13" s="9" t="n">
        <v>1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10" t="inlineStr">
        <is>
          <t>Xe "?"</t>
        </is>
      </c>
    </row>
    <row r="14">
      <c r="A14" s="9" t="n">
        <v>13</v>
      </c>
      <c r="B14" s="10" t="inlineStr">
        <is>
          <t>Ice Cream</t>
        </is>
      </c>
      <c r="C14" s="13" t="inlineStr">
        <is>
          <t>Thường</t>
        </is>
      </c>
      <c r="D14" s="10" t="inlineStr">
        <is>
          <t>Cầu vòm + túi khách</t>
        </is>
      </c>
      <c r="E14" s="9" t="inlineStr">
        <is>
          <t>Mint</t>
        </is>
      </c>
      <c r="F14" s="9" t="n">
        <v>4</v>
      </c>
      <c r="G14" s="9" t="n">
        <v>6</v>
      </c>
      <c r="H14" s="12" t="n">
        <v>1430</v>
      </c>
      <c r="I14" s="12" t="n">
        <v>1027</v>
      </c>
      <c r="J14" s="12">
        <f>H14+I14</f>
        <v/>
      </c>
      <c r="K14" s="9" t="n">
        <v>9</v>
      </c>
      <c r="L14" s="10" t="inlineStr">
        <is>
          <t>Purple 1030, Cyan 518, Pink 381, Black 202, White 133, Brown 121, Orange 49, Red 17, Green 6</t>
        </is>
      </c>
      <c r="M14" s="12" t="n">
        <v>18</v>
      </c>
      <c r="N14" s="9" t="n">
        <v>0</v>
      </c>
      <c r="O14" s="9" t="n">
        <v>1</v>
      </c>
      <c r="P14" s="9" t="n">
        <v>0</v>
      </c>
      <c r="Q14" s="9" t="n">
        <v>0</v>
      </c>
      <c r="R14" s="9" t="n">
        <v>0</v>
      </c>
      <c r="S14" s="9" t="n">
        <v>0</v>
      </c>
      <c r="T14" s="10" t="inlineStr">
        <is>
          <t>Hầm</t>
        </is>
      </c>
    </row>
    <row r="15">
      <c r="A15" s="9" t="n">
        <v>14</v>
      </c>
      <c r="B15" s="10" t="inlineStr">
        <is>
          <t>Red Mushroom</t>
        </is>
      </c>
      <c r="C15" s="11" t="inlineStr">
        <is>
          <t>Dễ</t>
        </is>
      </c>
      <c r="D15" s="10" t="inlineStr">
        <is>
          <t>Cầu vòm + túi khách</t>
        </is>
      </c>
      <c r="E15" s="9" t="inlineStr">
        <is>
          <t>Mint</t>
        </is>
      </c>
      <c r="F15" s="9" t="n">
        <v>4</v>
      </c>
      <c r="G15" s="9" t="n">
        <v>6</v>
      </c>
      <c r="H15" s="12" t="n">
        <v>1430</v>
      </c>
      <c r="I15" s="12" t="n">
        <v>1106</v>
      </c>
      <c r="J15" s="12">
        <f>H15+I15</f>
        <v/>
      </c>
      <c r="K15" s="9" t="n">
        <v>7</v>
      </c>
      <c r="L15" s="10" t="inlineStr">
        <is>
          <t>Green 612, Yellow 589, Brown 536, Red 301, White 294, Black 199, Pink 5</t>
        </is>
      </c>
      <c r="M15" s="12" t="n">
        <v>18</v>
      </c>
      <c r="N15" s="9" t="n">
        <v>1</v>
      </c>
      <c r="O15" s="9" t="n">
        <v>1</v>
      </c>
      <c r="P15" s="9" t="n">
        <v>0</v>
      </c>
      <c r="Q15" s="9" t="n">
        <v>0</v>
      </c>
      <c r="R15" s="9" t="n">
        <v>0</v>
      </c>
      <c r="S15" s="9" t="n">
        <v>0</v>
      </c>
      <c r="T15" s="10" t="inlineStr">
        <is>
          <t>Xe "?", Hầm</t>
        </is>
      </c>
    </row>
    <row r="16">
      <c r="A16" s="9" t="n">
        <v>15</v>
      </c>
      <c r="B16" s="10" t="inlineStr">
        <is>
          <t>Sunflowers</t>
        </is>
      </c>
      <c r="C16" s="14" t="inlineStr">
        <is>
          <t>Khó</t>
        </is>
      </c>
      <c r="D16" s="10" t="inlineStr">
        <is>
          <t>Chữ U giữa</t>
        </is>
      </c>
      <c r="E16" s="9" t="inlineStr">
        <is>
          <t>Snow</t>
        </is>
      </c>
      <c r="F16" s="9" t="n">
        <v>5</v>
      </c>
      <c r="G16" s="9" t="n">
        <v>6</v>
      </c>
      <c r="H16" s="12" t="n">
        <v>1371</v>
      </c>
      <c r="I16" s="12" t="n">
        <v>1422</v>
      </c>
      <c r="J16" s="12">
        <f>H16+I16</f>
        <v/>
      </c>
      <c r="K16" s="9" t="n">
        <v>6</v>
      </c>
      <c r="L16" s="10" t="inlineStr">
        <is>
          <t>Cyan 1137, Yellow 652, Brown 299, Orange 265, Green 249, Blue 191</t>
        </is>
      </c>
      <c r="M16" s="12" t="n">
        <v>19</v>
      </c>
      <c r="N16" s="9" t="n">
        <v>7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10" t="inlineStr">
        <is>
          <t>Xe "?"</t>
        </is>
      </c>
    </row>
    <row r="17">
      <c r="A17" s="9" t="n">
        <v>16</v>
      </c>
      <c r="B17" s="10" t="inlineStr">
        <is>
          <t>Fresh Strawberry</t>
        </is>
      </c>
      <c r="C17" s="11" t="inlineStr">
        <is>
          <t>Dễ</t>
        </is>
      </c>
      <c r="D17" s="10" t="inlineStr">
        <is>
          <t>Hai bướu (phải thấp)</t>
        </is>
      </c>
      <c r="E17" s="9" t="inlineStr">
        <is>
          <t>Snow</t>
        </is>
      </c>
      <c r="F17" s="9" t="n">
        <v>4</v>
      </c>
      <c r="G17" s="9" t="n">
        <v>6</v>
      </c>
      <c r="H17" s="12" t="n">
        <v>1297</v>
      </c>
      <c r="I17" s="12" t="n">
        <v>1106</v>
      </c>
      <c r="J17" s="12">
        <f>H17+I17</f>
        <v/>
      </c>
      <c r="K17" s="9" t="n">
        <v>6</v>
      </c>
      <c r="L17" s="10" t="inlineStr">
        <is>
          <t>White 612, Pink 598, Green 527, Red 360, Black 212, Yellow 94</t>
        </is>
      </c>
      <c r="M17" s="12" t="n">
        <v>14</v>
      </c>
      <c r="N17" s="9" t="n">
        <v>1</v>
      </c>
      <c r="O17" s="9" t="n">
        <v>0</v>
      </c>
      <c r="P17" s="9" t="n">
        <v>1</v>
      </c>
      <c r="Q17" s="9" t="n">
        <v>1</v>
      </c>
      <c r="R17" s="9" t="n">
        <v>0</v>
      </c>
      <c r="S17" s="9" t="n">
        <v>0</v>
      </c>
      <c r="T17" s="10" t="inlineStr">
        <is>
          <t>Xe "?", Lock &amp; Key</t>
        </is>
      </c>
    </row>
    <row r="18">
      <c r="A18" s="9" t="n">
        <v>17</v>
      </c>
      <c r="B18" s="10" t="inlineStr">
        <is>
          <t>Rainbow Arc</t>
        </is>
      </c>
      <c r="C18" s="13" t="inlineStr">
        <is>
          <t>Thường</t>
        </is>
      </c>
      <c r="D18" s="10" t="inlineStr">
        <is>
          <t>Chữ T</t>
        </is>
      </c>
      <c r="E18" s="9" t="inlineStr">
        <is>
          <t>Snow</t>
        </is>
      </c>
      <c r="F18" s="9" t="n">
        <v>5</v>
      </c>
      <c r="G18" s="9" t="n">
        <v>6</v>
      </c>
      <c r="H18" s="12" t="n">
        <v>1148</v>
      </c>
      <c r="I18" s="12" t="n">
        <v>1185</v>
      </c>
      <c r="J18" s="12">
        <f>H18+I18</f>
        <v/>
      </c>
      <c r="K18" s="9" t="n">
        <v>8</v>
      </c>
      <c r="L18" s="10" t="inlineStr">
        <is>
          <t>Cyan 973, Blue 605, Red 170, Orange 155, Yellow 130, White 129, Green 89, Purple 82</t>
        </is>
      </c>
      <c r="M18" s="12" t="n">
        <v>17</v>
      </c>
      <c r="N18" s="9" t="n">
        <v>2</v>
      </c>
      <c r="O18" s="9" t="n">
        <v>0</v>
      </c>
      <c r="P18" s="9" t="n">
        <v>1</v>
      </c>
      <c r="Q18" s="9" t="n">
        <v>1</v>
      </c>
      <c r="R18" s="9" t="n">
        <v>0</v>
      </c>
      <c r="S18" s="9" t="n">
        <v>0</v>
      </c>
      <c r="T18" s="10" t="inlineStr">
        <is>
          <t>Xe "?", Lock &amp; Key</t>
        </is>
      </c>
    </row>
    <row r="19">
      <c r="A19" s="9" t="n">
        <v>18</v>
      </c>
      <c r="B19" s="10" t="inlineStr">
        <is>
          <t>Jumpy Frog</t>
        </is>
      </c>
      <c r="C19" s="13" t="inlineStr">
        <is>
          <t>Thường</t>
        </is>
      </c>
      <c r="D19" s="10" t="inlineStr">
        <is>
          <t>Hai bướu (trái thấp)</t>
        </is>
      </c>
      <c r="E19" s="9" t="inlineStr">
        <is>
          <t>Snow</t>
        </is>
      </c>
      <c r="F19" s="9" t="n">
        <v>5</v>
      </c>
      <c r="G19" s="9" t="n">
        <v>6</v>
      </c>
      <c r="H19" s="12" t="n">
        <v>1297</v>
      </c>
      <c r="I19" s="12" t="n">
        <v>1185</v>
      </c>
      <c r="J19" s="12">
        <f>H19+I19</f>
        <v/>
      </c>
      <c r="K19" s="9" t="n">
        <v>7</v>
      </c>
      <c r="L19" s="10" t="inlineStr">
        <is>
          <t>Yellow 619, Blue 557, Green 475, Cyan 442, Black 315, White 49, Pink 25</t>
        </is>
      </c>
      <c r="M19" s="12" t="n">
        <v>17</v>
      </c>
      <c r="N19" s="9" t="n">
        <v>2</v>
      </c>
      <c r="O19" s="9" t="n">
        <v>0</v>
      </c>
      <c r="P19" s="9" t="n">
        <v>1</v>
      </c>
      <c r="Q19" s="9" t="n">
        <v>1</v>
      </c>
      <c r="R19" s="9" t="n">
        <v>0</v>
      </c>
      <c r="S19" s="9" t="n">
        <v>0</v>
      </c>
      <c r="T19" s="10" t="inlineStr">
        <is>
          <t>Xe "?", Lock &amp; Key</t>
        </is>
      </c>
    </row>
    <row r="20">
      <c r="A20" s="9" t="n">
        <v>19</v>
      </c>
      <c r="B20" s="10" t="inlineStr">
        <is>
          <t>Panda Cub</t>
        </is>
      </c>
      <c r="C20" s="11" t="inlineStr">
        <is>
          <t>Dễ</t>
        </is>
      </c>
      <c r="D20" s="10" t="inlineStr">
        <is>
          <t>Chữ U giữa</t>
        </is>
      </c>
      <c r="E20" s="9" t="inlineStr">
        <is>
          <t>Lavender</t>
        </is>
      </c>
      <c r="F20" s="9" t="n">
        <v>4</v>
      </c>
      <c r="G20" s="9" t="n">
        <v>6</v>
      </c>
      <c r="H20" s="12" t="n">
        <v>1371</v>
      </c>
      <c r="I20" s="12" t="n">
        <v>1185</v>
      </c>
      <c r="J20" s="12">
        <f>H20+I20</f>
        <v/>
      </c>
      <c r="K20" s="9" t="n">
        <v>5</v>
      </c>
      <c r="L20" s="10" t="inlineStr">
        <is>
          <t>Green 1051, White 511, Black 505, Yellow 474, Pink 15</t>
        </is>
      </c>
      <c r="M20" s="12" t="n">
        <v>16</v>
      </c>
      <c r="N20" s="9" t="n">
        <v>0</v>
      </c>
      <c r="O20" s="9" t="n">
        <v>0</v>
      </c>
      <c r="P20" s="9" t="n">
        <v>1</v>
      </c>
      <c r="Q20" s="9" t="n">
        <v>1</v>
      </c>
      <c r="R20" s="9" t="n">
        <v>0</v>
      </c>
      <c r="S20" s="9" t="n">
        <v>0</v>
      </c>
      <c r="T20" s="10" t="inlineStr">
        <is>
          <t>Lock &amp; Key</t>
        </is>
      </c>
    </row>
    <row r="21">
      <c r="A21" s="9" t="n">
        <v>20</v>
      </c>
      <c r="B21" s="10" t="inlineStr">
        <is>
          <t>Taj Mahal</t>
        </is>
      </c>
      <c r="C21" s="15" t="inlineStr">
        <is>
          <t>Siêu khó</t>
        </is>
      </c>
      <c r="D21" s="10" t="inlineStr">
        <is>
          <t>Hai bướu (trái thấp)</t>
        </is>
      </c>
      <c r="E21" s="9" t="inlineStr">
        <is>
          <t>Lavender</t>
        </is>
      </c>
      <c r="F21" s="9" t="n">
        <v>5</v>
      </c>
      <c r="G21" s="9" t="n">
        <v>6</v>
      </c>
      <c r="H21" s="12" t="n">
        <v>1297</v>
      </c>
      <c r="I21" s="12" t="n">
        <v>1817</v>
      </c>
      <c r="J21" s="12">
        <f>H21+I21</f>
        <v/>
      </c>
      <c r="K21" s="9" t="n">
        <v>7</v>
      </c>
      <c r="L21" s="10" t="inlineStr">
        <is>
          <t>Cyan 716, White 652, Blue 540, Purple 343, Black 314, Green 298, Yellow 251</t>
        </is>
      </c>
      <c r="M21" s="12" t="n">
        <v>22</v>
      </c>
      <c r="N21" s="9" t="n">
        <v>2</v>
      </c>
      <c r="O21" s="9" t="n">
        <v>0</v>
      </c>
      <c r="P21" s="9" t="n">
        <v>2</v>
      </c>
      <c r="Q21" s="9" t="n">
        <v>2</v>
      </c>
      <c r="R21" s="9" t="n">
        <v>0</v>
      </c>
      <c r="S21" s="9" t="n">
        <v>0</v>
      </c>
      <c r="T21" s="10" t="inlineStr">
        <is>
          <t>Xe "?", Lock &amp; Key</t>
        </is>
      </c>
    </row>
    <row r="22">
      <c r="A22" s="9" t="n">
        <v>21</v>
      </c>
      <c r="B22" s="10" t="inlineStr">
        <is>
          <t>Kitty Face</t>
        </is>
      </c>
      <c r="C22" s="11" t="inlineStr">
        <is>
          <t>Dễ</t>
        </is>
      </c>
      <c r="D22" s="10" t="inlineStr">
        <is>
          <t>Chữ U giữa</t>
        </is>
      </c>
      <c r="E22" s="9" t="inlineStr">
        <is>
          <t>Lavender</t>
        </is>
      </c>
      <c r="F22" s="9" t="n">
        <v>4</v>
      </c>
      <c r="G22" s="9" t="n">
        <v>6</v>
      </c>
      <c r="H22" s="12" t="n">
        <v>1371</v>
      </c>
      <c r="I22" s="12" t="n">
        <v>1264</v>
      </c>
      <c r="J22" s="12">
        <f>H22+I22</f>
        <v/>
      </c>
      <c r="K22" s="9" t="n">
        <v>6</v>
      </c>
      <c r="L22" s="10" t="inlineStr">
        <is>
          <t>Pink 1090, Purple 615, Orange 532, Black 239, White 133, Green 26</t>
        </is>
      </c>
      <c r="M22" s="12" t="n">
        <v>19</v>
      </c>
      <c r="N22" s="9" t="n">
        <v>2</v>
      </c>
      <c r="O22" s="9" t="n">
        <v>0</v>
      </c>
      <c r="P22" s="9" t="n">
        <v>1</v>
      </c>
      <c r="Q22" s="9" t="n">
        <v>1</v>
      </c>
      <c r="R22" s="9" t="n">
        <v>2</v>
      </c>
      <c r="S22" s="9" t="n">
        <v>0</v>
      </c>
      <c r="T22" s="10" t="inlineStr">
        <is>
          <t>Xe "?", Lock &amp; Key, Xe đóng băng</t>
        </is>
      </c>
    </row>
    <row r="23">
      <c r="A23" s="9" t="n">
        <v>22</v>
      </c>
      <c r="B23" s="10" t="inlineStr">
        <is>
          <t>Puppy Dog</t>
        </is>
      </c>
      <c r="C23" s="13" t="inlineStr">
        <is>
          <t>Thường</t>
        </is>
      </c>
      <c r="D23" s="10" t="inlineStr">
        <is>
          <t>Chữ T</t>
        </is>
      </c>
      <c r="E23" s="9" t="inlineStr">
        <is>
          <t>Lavender</t>
        </is>
      </c>
      <c r="F23" s="9" t="n">
        <v>5</v>
      </c>
      <c r="G23" s="9" t="n">
        <v>6</v>
      </c>
      <c r="H23" s="12" t="n">
        <v>1148</v>
      </c>
      <c r="I23" s="12" t="n">
        <v>1264</v>
      </c>
      <c r="J23" s="12">
        <f>H23+I23</f>
        <v/>
      </c>
      <c r="K23" s="9" t="n">
        <v>7</v>
      </c>
      <c r="L23" s="10" t="inlineStr">
        <is>
          <t>Orange 620, Yellow 562, Red 517, Black 289, Brown 222, White 191, Pink 11</t>
        </is>
      </c>
      <c r="M23" s="12" t="n">
        <v>16</v>
      </c>
      <c r="N23" s="9" t="n">
        <v>1</v>
      </c>
      <c r="O23" s="9" t="n">
        <v>0</v>
      </c>
      <c r="P23" s="9" t="n">
        <v>1</v>
      </c>
      <c r="Q23" s="9" t="n">
        <v>1</v>
      </c>
      <c r="R23" s="9" t="n">
        <v>1</v>
      </c>
      <c r="S23" s="9" t="n">
        <v>0</v>
      </c>
      <c r="T23" s="10" t="inlineStr">
        <is>
          <t>Xe "?", Lock &amp; Key, Xe đóng băng</t>
        </is>
      </c>
    </row>
    <row r="24">
      <c r="A24" s="9" t="n">
        <v>23</v>
      </c>
      <c r="B24" s="10" t="inlineStr">
        <is>
          <t>Bunny Hop</t>
        </is>
      </c>
      <c r="C24" s="13" t="inlineStr">
        <is>
          <t>Thường</t>
        </is>
      </c>
      <c r="D24" s="10" t="inlineStr">
        <is>
          <t>Chữ U giữa</t>
        </is>
      </c>
      <c r="E24" s="9" t="inlineStr">
        <is>
          <t>Lavender</t>
        </is>
      </c>
      <c r="F24" s="9" t="n">
        <v>5</v>
      </c>
      <c r="G24" s="9" t="n">
        <v>6</v>
      </c>
      <c r="H24" s="12" t="n">
        <v>1371</v>
      </c>
      <c r="I24" s="12" t="n">
        <v>1264</v>
      </c>
      <c r="J24" s="12">
        <f>H24+I24</f>
        <v/>
      </c>
      <c r="K24" s="9" t="n">
        <v>6</v>
      </c>
      <c r="L24" s="10" t="inlineStr">
        <is>
          <t>Green 948, White 505, Orange 464, Black 302, Yellow 259, Pink 157</t>
        </is>
      </c>
      <c r="M24" s="12" t="n">
        <v>17</v>
      </c>
      <c r="N24" s="9" t="n">
        <v>2</v>
      </c>
      <c r="O24" s="9" t="n">
        <v>0</v>
      </c>
      <c r="P24" s="9" t="n">
        <v>1</v>
      </c>
      <c r="Q24" s="9" t="n">
        <v>1</v>
      </c>
      <c r="R24" s="9" t="n">
        <v>1</v>
      </c>
      <c r="S24" s="9" t="n">
        <v>0</v>
      </c>
      <c r="T24" s="10" t="inlineStr">
        <is>
          <t>Xe "?", Lock &amp; Key, Xe đóng băng</t>
        </is>
      </c>
    </row>
    <row r="25">
      <c r="A25" s="9" t="n">
        <v>24</v>
      </c>
      <c r="B25" s="10" t="inlineStr">
        <is>
          <t>Penguin Pal</t>
        </is>
      </c>
      <c r="C25" s="11" t="inlineStr">
        <is>
          <t>Dễ</t>
        </is>
      </c>
      <c r="D25" s="10" t="inlineStr">
        <is>
          <t>Cầu vòm + túi khách</t>
        </is>
      </c>
      <c r="E25" s="9" t="inlineStr">
        <is>
          <t>Lavender</t>
        </is>
      </c>
      <c r="F25" s="9" t="n">
        <v>4</v>
      </c>
      <c r="G25" s="9" t="n">
        <v>6</v>
      </c>
      <c r="H25" s="12" t="n">
        <v>1430</v>
      </c>
      <c r="I25" s="12" t="n">
        <v>1343</v>
      </c>
      <c r="J25" s="12">
        <f>H25+I25</f>
        <v/>
      </c>
      <c r="K25" s="9" t="n">
        <v>7</v>
      </c>
      <c r="L25" s="10" t="inlineStr">
        <is>
          <t>Cyan 975, White 577, Blue 570, Black 550, Red 76, Orange 15, Pink 10</t>
        </is>
      </c>
      <c r="M25" s="12" t="n">
        <v>21</v>
      </c>
      <c r="N25" s="9" t="n">
        <v>2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0</v>
      </c>
      <c r="T25" s="10" t="inlineStr">
        <is>
          <t>Xe "?", Hầm, Lock &amp; Key, Xe đóng băng</t>
        </is>
      </c>
    </row>
    <row r="26">
      <c r="A26" s="9" t="n">
        <v>25</v>
      </c>
      <c r="B26" s="10" t="inlineStr">
        <is>
          <t>Statue of Liberty</t>
        </is>
      </c>
      <c r="C26" s="14" t="inlineStr">
        <is>
          <t>Khó</t>
        </is>
      </c>
      <c r="D26" s="10" t="inlineStr">
        <is>
          <t>Chữ T</t>
        </is>
      </c>
      <c r="E26" s="9" t="inlineStr">
        <is>
          <t>Lavender</t>
        </is>
      </c>
      <c r="F26" s="9" t="n">
        <v>5</v>
      </c>
      <c r="G26" s="9" t="n">
        <v>6</v>
      </c>
      <c r="H26" s="12" t="n">
        <v>1148</v>
      </c>
      <c r="I26" s="12" t="n">
        <v>1659</v>
      </c>
      <c r="J26" s="12">
        <f>H26+I26</f>
        <v/>
      </c>
      <c r="K26" s="9" t="n">
        <v>7</v>
      </c>
      <c r="L26" s="10" t="inlineStr">
        <is>
          <t>Cyan 1075, Blue 535, Green 462, White 271, Yellow 179, Orange 175, Black 110</t>
        </is>
      </c>
      <c r="M26" s="12" t="n">
        <v>20</v>
      </c>
      <c r="N26" s="9" t="n">
        <v>0</v>
      </c>
      <c r="O26" s="9" t="n">
        <v>0</v>
      </c>
      <c r="P26" s="9" t="n">
        <v>2</v>
      </c>
      <c r="Q26" s="9" t="n">
        <v>2</v>
      </c>
      <c r="R26" s="9" t="n">
        <v>2</v>
      </c>
      <c r="S26" s="9" t="n">
        <v>0</v>
      </c>
      <c r="T26" s="10" t="inlineStr">
        <is>
          <t>Lock &amp; Key, Xe đóng băng</t>
        </is>
      </c>
    </row>
    <row r="27">
      <c r="A27" s="9" t="n">
        <v>26</v>
      </c>
      <c r="B27" s="10" t="inlineStr">
        <is>
          <t>Night Owl</t>
        </is>
      </c>
      <c r="C27" s="11" t="inlineStr">
        <is>
          <t>Dễ</t>
        </is>
      </c>
      <c r="D27" s="10" t="inlineStr">
        <is>
          <t>Hai bướu (trái thấp)</t>
        </is>
      </c>
      <c r="E27" s="9" t="inlineStr">
        <is>
          <t>Sand</t>
        </is>
      </c>
      <c r="F27" s="9" t="n">
        <v>4</v>
      </c>
      <c r="G27" s="9" t="n">
        <v>6</v>
      </c>
      <c r="H27" s="12" t="n">
        <v>1297</v>
      </c>
      <c r="I27" s="12" t="n">
        <v>1343</v>
      </c>
      <c r="J27" s="12">
        <f>H27+I27</f>
        <v/>
      </c>
      <c r="K27" s="9" t="n">
        <v>7</v>
      </c>
      <c r="L27" s="10" t="inlineStr">
        <is>
          <t>Blue 805, Yellow 524, Purple 469, Brown 389, Black 315, Orange 78, White 60</t>
        </is>
      </c>
      <c r="M27" s="12" t="n">
        <v>18</v>
      </c>
      <c r="N27" s="9" t="n">
        <v>2</v>
      </c>
      <c r="O27" s="9" t="n">
        <v>0</v>
      </c>
      <c r="P27" s="9" t="n">
        <v>1</v>
      </c>
      <c r="Q27" s="9" t="n">
        <v>1</v>
      </c>
      <c r="R27" s="9" t="n">
        <v>1</v>
      </c>
      <c r="S27" s="9" t="n">
        <v>2</v>
      </c>
      <c r="T27" s="10" t="inlineStr">
        <is>
          <t>Xe "?", Lock &amp; Key, Xe đóng băng, Xe nối dây</t>
        </is>
      </c>
    </row>
    <row r="28">
      <c r="A28" s="9" t="n">
        <v>27</v>
      </c>
      <c r="B28" s="10" t="inlineStr">
        <is>
          <t>Busy Bee</t>
        </is>
      </c>
      <c r="C28" s="13" t="inlineStr">
        <is>
          <t>Thường</t>
        </is>
      </c>
      <c r="D28" s="10" t="inlineStr">
        <is>
          <t>Hai bướu (phải thấp)</t>
        </is>
      </c>
      <c r="E28" s="9" t="inlineStr">
        <is>
          <t>Sand</t>
        </is>
      </c>
      <c r="F28" s="9" t="n">
        <v>5</v>
      </c>
      <c r="G28" s="9" t="n">
        <v>6</v>
      </c>
      <c r="H28" s="12" t="n">
        <v>1297</v>
      </c>
      <c r="I28" s="12" t="n">
        <v>1422</v>
      </c>
      <c r="J28" s="12">
        <f>H28+I28</f>
        <v/>
      </c>
      <c r="K28" s="9" t="n">
        <v>7</v>
      </c>
      <c r="L28" s="10" t="inlineStr">
        <is>
          <t>Yellow 805, Orange 588, Brown 498, Black 478, White 174, Cyan 151, Pink 25</t>
        </is>
      </c>
      <c r="M28" s="12" t="n">
        <v>18</v>
      </c>
      <c r="N28" s="9" t="n">
        <v>5</v>
      </c>
      <c r="O28" s="9" t="n">
        <v>0</v>
      </c>
      <c r="P28" s="9" t="n">
        <v>1</v>
      </c>
      <c r="Q28" s="9" t="n">
        <v>1</v>
      </c>
      <c r="R28" s="9" t="n">
        <v>1</v>
      </c>
      <c r="S28" s="9" t="n">
        <v>1</v>
      </c>
      <c r="T28" s="10" t="inlineStr">
        <is>
          <t>Xe "?", Lock &amp; Key, Xe đóng băng, Xe nối dây</t>
        </is>
      </c>
    </row>
    <row r="29">
      <c r="A29" s="9" t="n">
        <v>28</v>
      </c>
      <c r="B29" s="10" t="inlineStr">
        <is>
          <t>Butterfly Wings</t>
        </is>
      </c>
      <c r="C29" s="13" t="inlineStr">
        <is>
          <t>Thường</t>
        </is>
      </c>
      <c r="D29" s="10" t="inlineStr">
        <is>
          <t>Cầu vòm + túi khách</t>
        </is>
      </c>
      <c r="E29" s="9" t="inlineStr">
        <is>
          <t>Sand</t>
        </is>
      </c>
      <c r="F29" s="9" t="n">
        <v>5</v>
      </c>
      <c r="G29" s="9" t="n">
        <v>6</v>
      </c>
      <c r="H29" s="12" t="n">
        <v>1430</v>
      </c>
      <c r="I29" s="12" t="n">
        <v>1422</v>
      </c>
      <c r="J29" s="12">
        <f>H29+I29</f>
        <v/>
      </c>
      <c r="K29" s="9" t="n">
        <v>7</v>
      </c>
      <c r="L29" s="10" t="inlineStr">
        <is>
          <t>Purple 914, Green 834, Black 409, Pink 251, Cyan 237, Yellow 122, White 85</t>
        </is>
      </c>
      <c r="M29" s="12" t="n">
        <v>22</v>
      </c>
      <c r="N29" s="9" t="n">
        <v>3</v>
      </c>
      <c r="O29" s="9" t="n">
        <v>1</v>
      </c>
      <c r="P29" s="9" t="n">
        <v>2</v>
      </c>
      <c r="Q29" s="9" t="n">
        <v>2</v>
      </c>
      <c r="R29" s="9" t="n">
        <v>1</v>
      </c>
      <c r="S29" s="9" t="n">
        <v>1</v>
      </c>
      <c r="T29" s="10" t="inlineStr">
        <is>
          <t>Xe "?", Hầm, Lock &amp; Key, Xe đóng băng, Xe nối dây</t>
        </is>
      </c>
    </row>
    <row r="30">
      <c r="A30" s="9" t="n">
        <v>29</v>
      </c>
      <c r="B30" s="10" t="inlineStr">
        <is>
          <t>Sea Turtle</t>
        </is>
      </c>
      <c r="C30" s="13" t="inlineStr">
        <is>
          <t>Thường</t>
        </is>
      </c>
      <c r="D30" s="10" t="inlineStr">
        <is>
          <t>Hai bướu (trái thấp)</t>
        </is>
      </c>
      <c r="E30" s="9" t="inlineStr">
        <is>
          <t>Sand</t>
        </is>
      </c>
      <c r="F30" s="9" t="n">
        <v>5</v>
      </c>
      <c r="G30" s="9" t="n">
        <v>6</v>
      </c>
      <c r="H30" s="12" t="n">
        <v>1297</v>
      </c>
      <c r="I30" s="12" t="n">
        <v>1422</v>
      </c>
      <c r="J30" s="12">
        <f>H30+I30</f>
        <v/>
      </c>
      <c r="K30" s="9" t="n">
        <v>7</v>
      </c>
      <c r="L30" s="10" t="inlineStr">
        <is>
          <t>Blue 634, Yellow 633, Cyan 544, Green 445, Black 300, Brown 152, White 11</t>
        </is>
      </c>
      <c r="M30" s="12" t="n">
        <v>20</v>
      </c>
      <c r="N30" s="9" t="n">
        <v>6</v>
      </c>
      <c r="O30" s="9" t="n">
        <v>0</v>
      </c>
      <c r="P30" s="9" t="n">
        <v>2</v>
      </c>
      <c r="Q30" s="9" t="n">
        <v>2</v>
      </c>
      <c r="R30" s="9" t="n">
        <v>1</v>
      </c>
      <c r="S30" s="9" t="n">
        <v>1</v>
      </c>
      <c r="T30" s="10" t="inlineStr">
        <is>
          <t>Xe "?", Lock &amp; Key, Xe đóng băng, Xe nối dây</t>
        </is>
      </c>
    </row>
    <row r="31">
      <c r="A31" s="9" t="n">
        <v>30</v>
      </c>
      <c r="B31" s="10" t="inlineStr">
        <is>
          <t>Mona Lisa</t>
        </is>
      </c>
      <c r="C31" s="15" t="inlineStr">
        <is>
          <t>Siêu khó</t>
        </is>
      </c>
      <c r="D31" s="10" t="inlineStr">
        <is>
          <t>Vòng hộp + hầm</t>
        </is>
      </c>
      <c r="E31" s="9" t="inlineStr">
        <is>
          <t>Sand</t>
        </is>
      </c>
      <c r="F31" s="9" t="n">
        <v>5</v>
      </c>
      <c r="G31" s="9" t="n">
        <v>6</v>
      </c>
      <c r="H31" s="12" t="n">
        <v>1425</v>
      </c>
      <c r="I31" s="12" t="n">
        <v>2054</v>
      </c>
      <c r="J31" s="12">
        <f>H31+I31</f>
        <v/>
      </c>
      <c r="K31" s="9" t="n">
        <v>7</v>
      </c>
      <c r="L31" s="10" t="inlineStr">
        <is>
          <t>Black 713, Green 693, Brown 676, Peach 595, Cyan 489, Orange 158, Red 155</t>
        </is>
      </c>
      <c r="M31" s="12" t="n">
        <v>28</v>
      </c>
      <c r="N31" s="9" t="n">
        <v>6</v>
      </c>
      <c r="O31" s="9" t="n">
        <v>2</v>
      </c>
      <c r="P31" s="9" t="n">
        <v>3</v>
      </c>
      <c r="Q31" s="9" t="n">
        <v>3</v>
      </c>
      <c r="R31" s="9" t="n">
        <v>2</v>
      </c>
      <c r="S31" s="9" t="n">
        <v>1</v>
      </c>
      <c r="T31" s="10" t="inlineStr">
        <is>
          <t>Xe "?", Hầm, Lock &amp; Key, Xe đóng băng, Xe nối dây</t>
        </is>
      </c>
    </row>
    <row r="32">
      <c r="A32" s="9" t="n">
        <v>31</v>
      </c>
      <c r="B32" s="10" t="inlineStr">
        <is>
          <t>Pink Piggy</t>
        </is>
      </c>
      <c r="C32" s="11" t="inlineStr">
        <is>
          <t>Dễ</t>
        </is>
      </c>
      <c r="D32" s="10" t="inlineStr">
        <is>
          <t>Hai bướu (trái thấp)</t>
        </is>
      </c>
      <c r="E32" s="9" t="inlineStr">
        <is>
          <t>Sand</t>
        </is>
      </c>
      <c r="F32" s="9" t="n">
        <v>4</v>
      </c>
      <c r="G32" s="9" t="n">
        <v>6</v>
      </c>
      <c r="H32" s="12" t="n">
        <v>1297</v>
      </c>
      <c r="I32" s="12" t="n">
        <v>1501</v>
      </c>
      <c r="J32" s="12">
        <f>H32+I32</f>
        <v/>
      </c>
      <c r="K32" s="9" t="n">
        <v>4</v>
      </c>
      <c r="L32" s="10" t="inlineStr">
        <is>
          <t>Pink 1116, White 1086, Purple 299, Black 297</t>
        </is>
      </c>
      <c r="M32" s="12" t="n">
        <v>18</v>
      </c>
      <c r="N32" s="9" t="n">
        <v>4</v>
      </c>
      <c r="O32" s="9" t="n">
        <v>0</v>
      </c>
      <c r="P32" s="9" t="n">
        <v>2</v>
      </c>
      <c r="Q32" s="9" t="n">
        <v>2</v>
      </c>
      <c r="R32" s="9" t="n">
        <v>2</v>
      </c>
      <c r="S32" s="9" t="n">
        <v>1</v>
      </c>
      <c r="T32" s="10" t="inlineStr">
        <is>
          <t>Xe "?", Lock &amp; Key, Xe đóng băng, Xe nối dây</t>
        </is>
      </c>
    </row>
    <row r="33">
      <c r="A33" s="9" t="n">
        <v>32</v>
      </c>
      <c r="B33" s="10" t="inlineStr">
        <is>
          <t>Teddy Bear</t>
        </is>
      </c>
      <c r="C33" s="13" t="inlineStr">
        <is>
          <t>Thường</t>
        </is>
      </c>
      <c r="D33" s="10" t="inlineStr">
        <is>
          <t>Hai bướu (phải thấp)</t>
        </is>
      </c>
      <c r="E33" s="9" t="inlineStr">
        <is>
          <t>Sand</t>
        </is>
      </c>
      <c r="F33" s="9" t="n">
        <v>5</v>
      </c>
      <c r="G33" s="9" t="n">
        <v>6</v>
      </c>
      <c r="H33" s="12" t="n">
        <v>1297</v>
      </c>
      <c r="I33" s="12" t="n">
        <v>1501</v>
      </c>
      <c r="J33" s="12">
        <f>H33+I33</f>
        <v/>
      </c>
      <c r="K33" s="9" t="n">
        <v>7</v>
      </c>
      <c r="L33" s="10" t="inlineStr">
        <is>
          <t>Brown 610, White 537, Pink 533, Blue 493, Black 312, Orange 209, Red 104</t>
        </is>
      </c>
      <c r="M33" s="12" t="n">
        <v>18</v>
      </c>
      <c r="N33" s="9" t="n">
        <v>5</v>
      </c>
      <c r="O33" s="9" t="n">
        <v>0</v>
      </c>
      <c r="P33" s="9" t="n">
        <v>2</v>
      </c>
      <c r="Q33" s="9" t="n">
        <v>2</v>
      </c>
      <c r="R33" s="9" t="n">
        <v>2</v>
      </c>
      <c r="S33" s="9" t="n">
        <v>1</v>
      </c>
      <c r="T33" s="10" t="inlineStr">
        <is>
          <t>Xe "?", Lock &amp; Key, Xe đóng băng, Xe nối dây</t>
        </is>
      </c>
    </row>
    <row r="34">
      <c r="A34" s="9" t="n">
        <v>33</v>
      </c>
      <c r="B34" s="10" t="inlineStr">
        <is>
          <t>Red Fox</t>
        </is>
      </c>
      <c r="C34" s="13" t="inlineStr">
        <is>
          <t>Thường</t>
        </is>
      </c>
      <c r="D34" s="10" t="inlineStr">
        <is>
          <t>Cầu vòm + túi khách</t>
        </is>
      </c>
      <c r="E34" s="9" t="inlineStr">
        <is>
          <t>Mint</t>
        </is>
      </c>
      <c r="F34" s="9" t="n">
        <v>5</v>
      </c>
      <c r="G34" s="9" t="n">
        <v>6</v>
      </c>
      <c r="H34" s="12" t="n">
        <v>1430</v>
      </c>
      <c r="I34" s="12" t="n">
        <v>1501</v>
      </c>
      <c r="J34" s="12">
        <f>H34+I34</f>
        <v/>
      </c>
      <c r="K34" s="9" t="n">
        <v>6</v>
      </c>
      <c r="L34" s="10" t="inlineStr">
        <is>
          <t>Yellow 639, Green 606, Brown 555, Orange 423, Black 379, White 329</t>
        </is>
      </c>
      <c r="M34" s="12" t="n">
        <v>20</v>
      </c>
      <c r="N34" s="9" t="n">
        <v>2</v>
      </c>
      <c r="O34" s="9" t="n">
        <v>1</v>
      </c>
      <c r="P34" s="9" t="n">
        <v>2</v>
      </c>
      <c r="Q34" s="9" t="n">
        <v>2</v>
      </c>
      <c r="R34" s="9" t="n">
        <v>2</v>
      </c>
      <c r="S34" s="9" t="n">
        <v>1</v>
      </c>
      <c r="T34" s="10" t="inlineStr">
        <is>
          <t>Xe "?", Hầm, Lock &amp; Key, Xe đóng băng, Xe nối dây</t>
        </is>
      </c>
    </row>
    <row r="35">
      <c r="A35" s="9" t="n">
        <v>34</v>
      </c>
      <c r="B35" s="10" t="inlineStr">
        <is>
          <t>Blue Whale</t>
        </is>
      </c>
      <c r="C35" s="13" t="inlineStr">
        <is>
          <t>Thường</t>
        </is>
      </c>
      <c r="D35" s="10" t="inlineStr">
        <is>
          <t>Hai bướu (phải thấp)</t>
        </is>
      </c>
      <c r="E35" s="9" t="inlineStr">
        <is>
          <t>Mint</t>
        </is>
      </c>
      <c r="F35" s="9" t="n">
        <v>5</v>
      </c>
      <c r="G35" s="9" t="n">
        <v>6</v>
      </c>
      <c r="H35" s="12" t="n">
        <v>1297</v>
      </c>
      <c r="I35" s="12" t="n">
        <v>1580</v>
      </c>
      <c r="J35" s="12">
        <f>H35+I35</f>
        <v/>
      </c>
      <c r="K35" s="9" t="n">
        <v>5</v>
      </c>
      <c r="L35" s="10" t="inlineStr">
        <is>
          <t>Cyan 913, Blue 865, White 730, Black 352, Pink 17</t>
        </is>
      </c>
      <c r="M35" s="12" t="n">
        <v>23</v>
      </c>
      <c r="N35" s="9" t="n">
        <v>2</v>
      </c>
      <c r="O35" s="9" t="n">
        <v>0</v>
      </c>
      <c r="P35" s="9" t="n">
        <v>2</v>
      </c>
      <c r="Q35" s="9" t="n">
        <v>2</v>
      </c>
      <c r="R35" s="9" t="n">
        <v>2</v>
      </c>
      <c r="S35" s="9" t="n">
        <v>1</v>
      </c>
      <c r="T35" s="10" t="inlineStr">
        <is>
          <t>Xe "?", Lock &amp; Key, Xe đóng băng, Xe nối dây</t>
        </is>
      </c>
    </row>
    <row r="36">
      <c r="A36" s="9" t="n">
        <v>35</v>
      </c>
      <c r="B36" s="10" t="inlineStr">
        <is>
          <t>Mount Fuji</t>
        </is>
      </c>
      <c r="C36" s="14" t="inlineStr">
        <is>
          <t>Khó</t>
        </is>
      </c>
      <c r="D36" s="10" t="inlineStr">
        <is>
          <t>Hai bướu (phải thấp)</t>
        </is>
      </c>
      <c r="E36" s="9" t="inlineStr">
        <is>
          <t>Mint</t>
        </is>
      </c>
      <c r="F36" s="9" t="n">
        <v>5</v>
      </c>
      <c r="G36" s="9" t="n">
        <v>6</v>
      </c>
      <c r="H36" s="12" t="n">
        <v>1297</v>
      </c>
      <c r="I36" s="12" t="n">
        <v>1896</v>
      </c>
      <c r="J36" s="12">
        <f>H36+I36</f>
        <v/>
      </c>
      <c r="K36" s="9" t="n">
        <v>8</v>
      </c>
      <c r="L36" s="10" t="inlineStr">
        <is>
          <t>Cyan 937, Blue 707, White 541, Pink 282, Red 279, Black 211, Brown 124, Green 112</t>
        </is>
      </c>
      <c r="M36" s="12" t="n">
        <v>22</v>
      </c>
      <c r="N36" s="9" t="n">
        <v>1</v>
      </c>
      <c r="O36" s="9" t="n">
        <v>0</v>
      </c>
      <c r="P36" s="9" t="n">
        <v>3</v>
      </c>
      <c r="Q36" s="9" t="n">
        <v>3</v>
      </c>
      <c r="R36" s="9" t="n">
        <v>3</v>
      </c>
      <c r="S36" s="9" t="n">
        <v>1</v>
      </c>
      <c r="T36" s="10" t="inlineStr">
        <is>
          <t>Xe "?", Lock &amp; Key, Xe đóng băng, Xe nối dây</t>
        </is>
      </c>
    </row>
    <row r="37">
      <c r="A37" s="9" t="n">
        <v>36</v>
      </c>
      <c r="B37" s="10" t="inlineStr">
        <is>
          <t>Ocean Octopus</t>
        </is>
      </c>
      <c r="C37" s="11" t="inlineStr">
        <is>
          <t>Dễ</t>
        </is>
      </c>
      <c r="D37" s="10" t="inlineStr">
        <is>
          <t>Chữ U giữa</t>
        </is>
      </c>
      <c r="E37" s="9" t="inlineStr">
        <is>
          <t>Mint</t>
        </is>
      </c>
      <c r="F37" s="9" t="n">
        <v>4</v>
      </c>
      <c r="G37" s="9" t="n">
        <v>6</v>
      </c>
      <c r="H37" s="12" t="n">
        <v>1371</v>
      </c>
      <c r="I37" s="12" t="n">
        <v>1580</v>
      </c>
      <c r="J37" s="12">
        <f>H37+I37</f>
        <v/>
      </c>
      <c r="K37" s="9" t="n">
        <v>6</v>
      </c>
      <c r="L37" s="10" t="inlineStr">
        <is>
          <t>Blue 1034, Pink 717, Purple 565, Black 336, Cyan 264, White 35</t>
        </is>
      </c>
      <c r="M37" s="12" t="n">
        <v>20</v>
      </c>
      <c r="N37" s="9" t="n">
        <v>1</v>
      </c>
      <c r="O37" s="9" t="n">
        <v>0</v>
      </c>
      <c r="P37" s="9" t="n">
        <v>2</v>
      </c>
      <c r="Q37" s="9" t="n">
        <v>2</v>
      </c>
      <c r="R37" s="9" t="n">
        <v>2</v>
      </c>
      <c r="S37" s="9" t="n">
        <v>1</v>
      </c>
      <c r="T37" s="10" t="inlineStr">
        <is>
          <t>Xe "?", Lock &amp; Key, Xe đóng băng, Xe nối dây</t>
        </is>
      </c>
    </row>
    <row r="38">
      <c r="A38" s="9" t="n">
        <v>37</v>
      </c>
      <c r="B38" s="10" t="inlineStr">
        <is>
          <t>Red Crab</t>
        </is>
      </c>
      <c r="C38" s="13" t="inlineStr">
        <is>
          <t>Thường</t>
        </is>
      </c>
      <c r="D38" s="10" t="inlineStr">
        <is>
          <t>Chữ U giữa</t>
        </is>
      </c>
      <c r="E38" s="9" t="inlineStr">
        <is>
          <t>Mint</t>
        </is>
      </c>
      <c r="F38" s="9" t="n">
        <v>5</v>
      </c>
      <c r="G38" s="9" t="n">
        <v>6</v>
      </c>
      <c r="H38" s="12" t="n">
        <v>1371</v>
      </c>
      <c r="I38" s="12" t="n">
        <v>1659</v>
      </c>
      <c r="J38" s="12">
        <f>H38+I38</f>
        <v/>
      </c>
      <c r="K38" s="9" t="n">
        <v>6</v>
      </c>
      <c r="L38" s="10" t="inlineStr">
        <is>
          <t>Yellow 1028, Orange 775, Red 637, Black 526, White 35, Pink 29</t>
        </is>
      </c>
      <c r="M38" s="12" t="n">
        <v>22</v>
      </c>
      <c r="N38" s="9" t="n">
        <v>4</v>
      </c>
      <c r="O38" s="9" t="n">
        <v>0</v>
      </c>
      <c r="P38" s="9" t="n">
        <v>2</v>
      </c>
      <c r="Q38" s="9" t="n">
        <v>2</v>
      </c>
      <c r="R38" s="9" t="n">
        <v>2</v>
      </c>
      <c r="S38" s="9" t="n">
        <v>1</v>
      </c>
      <c r="T38" s="10" t="inlineStr">
        <is>
          <t>Xe "?", Lock &amp; Key, Xe đóng băng, Xe nối dây</t>
        </is>
      </c>
    </row>
    <row r="39">
      <c r="A39" s="9" t="n">
        <v>38</v>
      </c>
      <c r="B39" s="10" t="inlineStr">
        <is>
          <t>Jack Pumpkin</t>
        </is>
      </c>
      <c r="C39" s="13" t="inlineStr">
        <is>
          <t>Thường</t>
        </is>
      </c>
      <c r="D39" s="10" t="inlineStr">
        <is>
          <t>Chữ T</t>
        </is>
      </c>
      <c r="E39" s="9" t="inlineStr">
        <is>
          <t>Mint</t>
        </is>
      </c>
      <c r="F39" s="9" t="n">
        <v>5</v>
      </c>
      <c r="G39" s="9" t="n">
        <v>6</v>
      </c>
      <c r="H39" s="12" t="n">
        <v>1148</v>
      </c>
      <c r="I39" s="12" t="n">
        <v>1659</v>
      </c>
      <c r="J39" s="12">
        <f>H39+I39</f>
        <v/>
      </c>
      <c r="K39" s="9" t="n">
        <v>6</v>
      </c>
      <c r="L39" s="10" t="inlineStr">
        <is>
          <t>Black 847, Purple 669, Orange 550, Brown 298, Green 264, Yellow 179</t>
        </is>
      </c>
      <c r="M39" s="12" t="n">
        <v>19</v>
      </c>
      <c r="N39" s="9" t="n">
        <v>3</v>
      </c>
      <c r="O39" s="9" t="n">
        <v>0</v>
      </c>
      <c r="P39" s="9" t="n">
        <v>2</v>
      </c>
      <c r="Q39" s="9" t="n">
        <v>2</v>
      </c>
      <c r="R39" s="9" t="n">
        <v>2</v>
      </c>
      <c r="S39" s="9" t="n">
        <v>1</v>
      </c>
      <c r="T39" s="10" t="inlineStr">
        <is>
          <t>Xe "?", Lock &amp; Key, Xe đóng băng, Xe nối dây</t>
        </is>
      </c>
    </row>
    <row r="40">
      <c r="A40" s="9" t="n">
        <v>39</v>
      </c>
      <c r="B40" s="10" t="inlineStr">
        <is>
          <t>Glazed Donut</t>
        </is>
      </c>
      <c r="C40" s="13" t="inlineStr">
        <is>
          <t>Thường</t>
        </is>
      </c>
      <c r="D40" s="10" t="inlineStr">
        <is>
          <t>Chữ T</t>
        </is>
      </c>
      <c r="E40" s="9" t="inlineStr">
        <is>
          <t>Mint</t>
        </is>
      </c>
      <c r="F40" s="9" t="n">
        <v>5</v>
      </c>
      <c r="G40" s="9" t="n">
        <v>6</v>
      </c>
      <c r="H40" s="12" t="n">
        <v>1148</v>
      </c>
      <c r="I40" s="12" t="n">
        <v>1659</v>
      </c>
      <c r="J40" s="12">
        <f>H40+I40</f>
        <v/>
      </c>
      <c r="K40" s="9" t="n">
        <v>10</v>
      </c>
      <c r="L40" s="10" t="inlineStr">
        <is>
          <t>Pink 1189, White 527, Cyan 515, Black 230, Brown 182, Orange 150, Blue 11, Yellow 1, Green 1, Purple 1</t>
        </is>
      </c>
      <c r="M40" s="12" t="n">
        <v>21</v>
      </c>
      <c r="N40" s="9" t="n">
        <v>4</v>
      </c>
      <c r="O40" s="9" t="n">
        <v>0</v>
      </c>
      <c r="P40" s="9" t="n">
        <v>2</v>
      </c>
      <c r="Q40" s="9" t="n">
        <v>2</v>
      </c>
      <c r="R40" s="9" t="n">
        <v>2</v>
      </c>
      <c r="S40" s="9" t="n">
        <v>1</v>
      </c>
      <c r="T40" s="10" t="inlineStr">
        <is>
          <t>Xe "?", Lock &amp; Key, Xe đóng băng, Xe nối dây</t>
        </is>
      </c>
    </row>
    <row r="41">
      <c r="A41" s="9" t="n">
        <v>40</v>
      </c>
      <c r="B41" s="10" t="inlineStr">
        <is>
          <t>Girl with a Pearl Earring</t>
        </is>
      </c>
      <c r="C41" s="15" t="inlineStr">
        <is>
          <t>Siêu khó</t>
        </is>
      </c>
      <c r="D41" s="10" t="inlineStr">
        <is>
          <t>Chữ T</t>
        </is>
      </c>
      <c r="E41" s="9" t="inlineStr">
        <is>
          <t>Mint</t>
        </is>
      </c>
      <c r="F41" s="9" t="n">
        <v>5</v>
      </c>
      <c r="G41" s="9" t="n">
        <v>6</v>
      </c>
      <c r="H41" s="12" t="n">
        <v>1148</v>
      </c>
      <c r="I41" s="12" t="n">
        <v>2291</v>
      </c>
      <c r="J41" s="12">
        <f>H41+I41</f>
        <v/>
      </c>
      <c r="K41" s="9" t="n">
        <v>7</v>
      </c>
      <c r="L41" s="10" t="inlineStr">
        <is>
          <t>Black 1510, Blue 534, Yellow 489, Cyan 321, Peach 317, Brown 139, White 129</t>
        </is>
      </c>
      <c r="M41" s="12" t="n">
        <v>23</v>
      </c>
      <c r="N41" s="9" t="n">
        <v>4</v>
      </c>
      <c r="O41" s="9" t="n">
        <v>0</v>
      </c>
      <c r="P41" s="9" t="n">
        <v>3</v>
      </c>
      <c r="Q41" s="9" t="n">
        <v>3</v>
      </c>
      <c r="R41" s="9" t="n">
        <v>3</v>
      </c>
      <c r="S41" s="9" t="n">
        <v>1</v>
      </c>
      <c r="T41" s="10" t="inlineStr">
        <is>
          <t>Xe "?", Lock &amp; Key, Xe đóng băng, Xe nối dây</t>
        </is>
      </c>
    </row>
    <row r="42">
      <c r="A42" s="9" t="n">
        <v>41</v>
      </c>
      <c r="B42" s="10" t="inlineStr">
        <is>
          <t>Pizza Slice</t>
        </is>
      </c>
      <c r="C42" s="11" t="inlineStr">
        <is>
          <t>Dễ</t>
        </is>
      </c>
      <c r="D42" s="10" t="inlineStr">
        <is>
          <t>Chữ U giữa</t>
        </is>
      </c>
      <c r="E42" s="9" t="inlineStr">
        <is>
          <t>Snow</t>
        </is>
      </c>
      <c r="F42" s="9" t="n">
        <v>4</v>
      </c>
      <c r="G42" s="9" t="n">
        <v>6</v>
      </c>
      <c r="H42" s="12" t="n">
        <v>1371</v>
      </c>
      <c r="I42" s="12" t="n">
        <v>1738</v>
      </c>
      <c r="J42" s="12">
        <f>H42+I42</f>
        <v/>
      </c>
      <c r="K42" s="9" t="n">
        <v>7</v>
      </c>
      <c r="L42" s="10" t="inlineStr">
        <is>
          <t>Red 880, White 736, Brown 654, Yellow 379, Black 248, Orange 188, Green 24</t>
        </is>
      </c>
      <c r="M42" s="12" t="n">
        <v>22</v>
      </c>
      <c r="N42" s="9" t="n">
        <v>5</v>
      </c>
      <c r="O42" s="9" t="n">
        <v>0</v>
      </c>
      <c r="P42" s="9" t="n">
        <v>3</v>
      </c>
      <c r="Q42" s="9" t="n">
        <v>3</v>
      </c>
      <c r="R42" s="9" t="n">
        <v>3</v>
      </c>
      <c r="S42" s="9" t="n">
        <v>2</v>
      </c>
      <c r="T42" s="10" t="inlineStr">
        <is>
          <t>Xe "?", Lock &amp; Key, Xe đóng băng, Xe nối dây</t>
        </is>
      </c>
    </row>
    <row r="43">
      <c r="A43" s="9" t="n">
        <v>42</v>
      </c>
      <c r="B43" s="10" t="inlineStr">
        <is>
          <t>Golden Crown</t>
        </is>
      </c>
      <c r="C43" s="13" t="inlineStr">
        <is>
          <t>Thường</t>
        </is>
      </c>
      <c r="D43" s="10" t="inlineStr">
        <is>
          <t>Chữ T</t>
        </is>
      </c>
      <c r="E43" s="9" t="inlineStr">
        <is>
          <t>Snow</t>
        </is>
      </c>
      <c r="F43" s="9" t="n">
        <v>5</v>
      </c>
      <c r="G43" s="9" t="n">
        <v>6</v>
      </c>
      <c r="H43" s="12" t="n">
        <v>1148</v>
      </c>
      <c r="I43" s="12" t="n">
        <v>1738</v>
      </c>
      <c r="J43" s="12">
        <f>H43+I43</f>
        <v/>
      </c>
      <c r="K43" s="9" t="n">
        <v>10</v>
      </c>
      <c r="L43" s="10" t="inlineStr">
        <is>
          <t>Yellow 884, Pink 610, Purple 582, Black 321, Orange 208, Red 90, Cyan 82, Blue 55, White 27, Green 27</t>
        </is>
      </c>
      <c r="M43" s="12" t="n">
        <v>22</v>
      </c>
      <c r="N43" s="9" t="n">
        <v>2</v>
      </c>
      <c r="O43" s="9" t="n">
        <v>0</v>
      </c>
      <c r="P43" s="9" t="n">
        <v>3</v>
      </c>
      <c r="Q43" s="9" t="n">
        <v>3</v>
      </c>
      <c r="R43" s="9" t="n">
        <v>3</v>
      </c>
      <c r="S43" s="9" t="n">
        <v>2</v>
      </c>
      <c r="T43" s="10" t="inlineStr">
        <is>
          <t>Xe "?", Lock &amp; Key, Xe đóng băng, Xe nối dây</t>
        </is>
      </c>
    </row>
    <row r="44">
      <c r="A44" s="9" t="n">
        <v>43</v>
      </c>
      <c r="B44" s="10" t="inlineStr">
        <is>
          <t>Shiny Gem</t>
        </is>
      </c>
      <c r="C44" s="13" t="inlineStr">
        <is>
          <t>Thường</t>
        </is>
      </c>
      <c r="D44" s="10" t="inlineStr">
        <is>
          <t>Chữ T</t>
        </is>
      </c>
      <c r="E44" s="9" t="inlineStr">
        <is>
          <t>Snow</t>
        </is>
      </c>
      <c r="F44" s="9" t="n">
        <v>5</v>
      </c>
      <c r="G44" s="9" t="n">
        <v>6</v>
      </c>
      <c r="H44" s="12" t="n">
        <v>1148</v>
      </c>
      <c r="I44" s="12" t="n">
        <v>1738</v>
      </c>
      <c r="J44" s="12">
        <f>H44+I44</f>
        <v/>
      </c>
      <c r="K44" s="9" t="n">
        <v>5</v>
      </c>
      <c r="L44" s="10" t="inlineStr">
        <is>
          <t>Cyan 723, Black 715, Purple 596, Blue 488, White 364</t>
        </is>
      </c>
      <c r="M44" s="12" t="n">
        <v>17</v>
      </c>
      <c r="N44" s="9" t="n">
        <v>2</v>
      </c>
      <c r="O44" s="9" t="n">
        <v>0</v>
      </c>
      <c r="P44" s="9" t="n">
        <v>3</v>
      </c>
      <c r="Q44" s="9" t="n">
        <v>3</v>
      </c>
      <c r="R44" s="9" t="n">
        <v>3</v>
      </c>
      <c r="S44" s="9" t="n">
        <v>2</v>
      </c>
      <c r="T44" s="10" t="inlineStr">
        <is>
          <t>Xe "?", Lock &amp; Key, Xe đóng băng, Xe nối dây</t>
        </is>
      </c>
    </row>
    <row r="45">
      <c r="A45" s="9" t="n">
        <v>44</v>
      </c>
      <c r="B45" s="10" t="inlineStr">
        <is>
          <t>Red Umbrella</t>
        </is>
      </c>
      <c r="C45" s="13" t="inlineStr">
        <is>
          <t>Thường</t>
        </is>
      </c>
      <c r="D45" s="10" t="inlineStr">
        <is>
          <t>Chữ T</t>
        </is>
      </c>
      <c r="E45" s="9" t="inlineStr">
        <is>
          <t>Snow</t>
        </is>
      </c>
      <c r="F45" s="9" t="n">
        <v>5</v>
      </c>
      <c r="G45" s="9" t="n">
        <v>6</v>
      </c>
      <c r="H45" s="12" t="n">
        <v>1148</v>
      </c>
      <c r="I45" s="12" t="n">
        <v>1817</v>
      </c>
      <c r="J45" s="12">
        <f>H45+I45</f>
        <v/>
      </c>
      <c r="K45" s="9" t="n">
        <v>7</v>
      </c>
      <c r="L45" s="10" t="inlineStr">
        <is>
          <t>Cyan 659, Blue 656, Yellow 619, Red 373, White 339, Black 301, Brown 18</t>
        </is>
      </c>
      <c r="M45" s="12" t="n">
        <v>19</v>
      </c>
      <c r="N45" s="9" t="n">
        <v>2</v>
      </c>
      <c r="O45" s="9" t="n">
        <v>0</v>
      </c>
      <c r="P45" s="9" t="n">
        <v>3</v>
      </c>
      <c r="Q45" s="9" t="n">
        <v>3</v>
      </c>
      <c r="R45" s="9" t="n">
        <v>3</v>
      </c>
      <c r="S45" s="9" t="n">
        <v>2</v>
      </c>
      <c r="T45" s="10" t="inlineStr">
        <is>
          <t>Xe "?", Lock &amp; Key, Xe đóng băng, Xe nối dây</t>
        </is>
      </c>
    </row>
    <row r="46">
      <c r="A46" s="9" t="n">
        <v>45</v>
      </c>
      <c r="B46" s="10" t="inlineStr">
        <is>
          <t>The Scream</t>
        </is>
      </c>
      <c r="C46" s="14" t="inlineStr">
        <is>
          <t>Khó</t>
        </is>
      </c>
      <c r="D46" s="10" t="inlineStr">
        <is>
          <t>Vòng hộp + hầm</t>
        </is>
      </c>
      <c r="E46" s="9" t="inlineStr">
        <is>
          <t>Snow</t>
        </is>
      </c>
      <c r="F46" s="9" t="n">
        <v>5</v>
      </c>
      <c r="G46" s="9" t="n">
        <v>6</v>
      </c>
      <c r="H46" s="12" t="n">
        <v>1401</v>
      </c>
      <c r="I46" s="12" t="n">
        <v>2133</v>
      </c>
      <c r="J46" s="12">
        <f>H46+I46</f>
        <v/>
      </c>
      <c r="K46" s="9" t="n">
        <v>9</v>
      </c>
      <c r="L46" s="10" t="inlineStr">
        <is>
          <t>Orange 644, Red 639, Blue 547, Yellow 497, Brown 294, Green 256, White 236, Cyan 232, Black 189</t>
        </is>
      </c>
      <c r="M46" s="12" t="n">
        <v>26</v>
      </c>
      <c r="N46" s="9" t="n">
        <v>8</v>
      </c>
      <c r="O46" s="9" t="n">
        <v>1</v>
      </c>
      <c r="P46" s="9" t="n">
        <v>3</v>
      </c>
      <c r="Q46" s="9" t="n">
        <v>3</v>
      </c>
      <c r="R46" s="9" t="n">
        <v>3</v>
      </c>
      <c r="S46" s="9" t="n">
        <v>2</v>
      </c>
      <c r="T46" s="10" t="inlineStr">
        <is>
          <t>Xe "?", Hầm, Lock &amp; Key, Xe đóng băng, Xe nối dây</t>
        </is>
      </c>
    </row>
    <row r="47">
      <c r="A47" s="9" t="n">
        <v>46</v>
      </c>
      <c r="B47" s="10" t="inlineStr">
        <is>
          <t>Space Rocket</t>
        </is>
      </c>
      <c r="C47" s="11" t="inlineStr">
        <is>
          <t>Dễ</t>
        </is>
      </c>
      <c r="D47" s="10" t="inlineStr">
        <is>
          <t>Hai bướu (trái thấp)</t>
        </is>
      </c>
      <c r="E47" s="9" t="inlineStr">
        <is>
          <t>Snow</t>
        </is>
      </c>
      <c r="F47" s="9" t="n">
        <v>4</v>
      </c>
      <c r="G47" s="9" t="n">
        <v>6</v>
      </c>
      <c r="H47" s="12" t="n">
        <v>1297</v>
      </c>
      <c r="I47" s="12" t="n">
        <v>1817</v>
      </c>
      <c r="J47" s="12">
        <f>H47+I47</f>
        <v/>
      </c>
      <c r="K47" s="9" t="n">
        <v>9</v>
      </c>
      <c r="L47" s="10" t="inlineStr">
        <is>
          <t>Black 1405, Purple 568, Yellow 507, White 264, Red 186, Orange 56, Pink 53, Blue 41, Cyan 34</t>
        </is>
      </c>
      <c r="M47" s="12" t="n">
        <v>23</v>
      </c>
      <c r="N47" s="9" t="n">
        <v>4</v>
      </c>
      <c r="O47" s="9" t="n">
        <v>0</v>
      </c>
      <c r="P47" s="9" t="n">
        <v>3</v>
      </c>
      <c r="Q47" s="9" t="n">
        <v>3</v>
      </c>
      <c r="R47" s="9" t="n">
        <v>3</v>
      </c>
      <c r="S47" s="9" t="n">
        <v>2</v>
      </c>
      <c r="T47" s="10" t="inlineStr">
        <is>
          <t>Xe "?", Lock &amp; Key, Xe đóng băng, Xe nối dây</t>
        </is>
      </c>
    </row>
    <row r="48">
      <c r="A48" s="9" t="n">
        <v>47</v>
      </c>
      <c r="B48" s="10" t="inlineStr">
        <is>
          <t>Cute Robot</t>
        </is>
      </c>
      <c r="C48" s="13" t="inlineStr">
        <is>
          <t>Thường</t>
        </is>
      </c>
      <c r="D48" s="10" t="inlineStr">
        <is>
          <t>Hai bướu (trái thấp)</t>
        </is>
      </c>
      <c r="E48" s="9" t="inlineStr">
        <is>
          <t>Snow</t>
        </is>
      </c>
      <c r="F48" s="9" t="n">
        <v>5</v>
      </c>
      <c r="G48" s="9" t="n">
        <v>6</v>
      </c>
      <c r="H48" s="12" t="n">
        <v>1297</v>
      </c>
      <c r="I48" s="12" t="n">
        <v>1896</v>
      </c>
      <c r="J48" s="12">
        <f>H48+I48</f>
        <v/>
      </c>
      <c r="K48" s="9" t="n">
        <v>8</v>
      </c>
      <c r="L48" s="10" t="inlineStr">
        <is>
          <t>Yellow 752, Orange 699, Blue 564, White 471, Black 389, Cyan 291, Red 14, Pink 13</t>
        </is>
      </c>
      <c r="M48" s="12" t="n">
        <v>23</v>
      </c>
      <c r="N48" s="9" t="n">
        <v>6</v>
      </c>
      <c r="O48" s="9" t="n">
        <v>0</v>
      </c>
      <c r="P48" s="9" t="n">
        <v>3</v>
      </c>
      <c r="Q48" s="9" t="n">
        <v>3</v>
      </c>
      <c r="R48" s="9" t="n">
        <v>3</v>
      </c>
      <c r="S48" s="9" t="n">
        <v>2</v>
      </c>
      <c r="T48" s="10" t="inlineStr">
        <is>
          <t>Xe "?", Lock &amp; Key, Xe đóng băng, Xe nối dây</t>
        </is>
      </c>
    </row>
    <row r="49">
      <c r="A49" s="9" t="n">
        <v>48</v>
      </c>
      <c r="B49" s="10" t="inlineStr">
        <is>
          <t>Green Dino</t>
        </is>
      </c>
      <c r="C49" s="13" t="inlineStr">
        <is>
          <t>Thường</t>
        </is>
      </c>
      <c r="D49" s="10" t="inlineStr">
        <is>
          <t>Hai bướu (trái thấp)</t>
        </is>
      </c>
      <c r="E49" s="9" t="inlineStr">
        <is>
          <t>Snow</t>
        </is>
      </c>
      <c r="F49" s="9" t="n">
        <v>5</v>
      </c>
      <c r="G49" s="9" t="n">
        <v>6</v>
      </c>
      <c r="H49" s="12" t="n">
        <v>1297</v>
      </c>
      <c r="I49" s="12" t="n">
        <v>1896</v>
      </c>
      <c r="J49" s="12">
        <f>H49+I49</f>
        <v/>
      </c>
      <c r="K49" s="9" t="n">
        <v>6</v>
      </c>
      <c r="L49" s="10" t="inlineStr">
        <is>
          <t>Green 1021, Yellow 974, Black 608, Orange 262, White 182, Pink 146</t>
        </is>
      </c>
      <c r="M49" s="12" t="n">
        <v>21</v>
      </c>
      <c r="N49" s="9" t="n">
        <v>4</v>
      </c>
      <c r="O49" s="9" t="n">
        <v>0</v>
      </c>
      <c r="P49" s="9" t="n">
        <v>3</v>
      </c>
      <c r="Q49" s="9" t="n">
        <v>3</v>
      </c>
      <c r="R49" s="9" t="n">
        <v>3</v>
      </c>
      <c r="S49" s="9" t="n">
        <v>2</v>
      </c>
      <c r="T49" s="10" t="inlineStr">
        <is>
          <t>Xe "?", Lock &amp; Key, Xe đóng băng, Xe nối dây</t>
        </is>
      </c>
    </row>
    <row r="50">
      <c r="A50" s="9" t="n">
        <v>49</v>
      </c>
      <c r="B50" s="10" t="inlineStr">
        <is>
          <t>Magic Unicorn</t>
        </is>
      </c>
      <c r="C50" s="13" t="inlineStr">
        <is>
          <t>Thường</t>
        </is>
      </c>
      <c r="D50" s="10" t="inlineStr">
        <is>
          <t>Chữ U giữa</t>
        </is>
      </c>
      <c r="E50" s="9" t="inlineStr">
        <is>
          <t>Lavender</t>
        </is>
      </c>
      <c r="F50" s="9" t="n">
        <v>5</v>
      </c>
      <c r="G50" s="9" t="n">
        <v>6</v>
      </c>
      <c r="H50" s="12" t="n">
        <v>1371</v>
      </c>
      <c r="I50" s="12" t="n">
        <v>1896</v>
      </c>
      <c r="J50" s="12">
        <f>H50+I50</f>
        <v/>
      </c>
      <c r="K50" s="9" t="n">
        <v>10</v>
      </c>
      <c r="L50" s="10" t="inlineStr">
        <is>
          <t>Purple 1662, White 562, Black 370, Pink 188, Orange 106, Red 99, Blue 93, Cyan 70, Yellow 67, Green 50</t>
        </is>
      </c>
      <c r="M50" s="12" t="n">
        <v>24</v>
      </c>
      <c r="N50" s="9" t="n">
        <v>6</v>
      </c>
      <c r="O50" s="9" t="n">
        <v>0</v>
      </c>
      <c r="P50" s="9" t="n">
        <v>3</v>
      </c>
      <c r="Q50" s="9" t="n">
        <v>3</v>
      </c>
      <c r="R50" s="9" t="n">
        <v>3</v>
      </c>
      <c r="S50" s="9" t="n">
        <v>2</v>
      </c>
      <c r="T50" s="10" t="inlineStr">
        <is>
          <t>Xe "?", Lock &amp; Key, Xe đóng băng, Xe nối dây</t>
        </is>
      </c>
    </row>
    <row r="51">
      <c r="A51" s="9" t="n">
        <v>50</v>
      </c>
      <c r="B51" s="10" t="inlineStr">
        <is>
          <t>Pyramids of Giza</t>
        </is>
      </c>
      <c r="C51" s="15" t="inlineStr">
        <is>
          <t>Siêu khó</t>
        </is>
      </c>
      <c r="D51" s="10" t="inlineStr">
        <is>
          <t>Vòng hộp cao + hầm</t>
        </is>
      </c>
      <c r="E51" s="9" t="inlineStr">
        <is>
          <t>Lavender</t>
        </is>
      </c>
      <c r="F51" s="9" t="n">
        <v>5</v>
      </c>
      <c r="G51" s="9" t="n">
        <v>6</v>
      </c>
      <c r="H51" s="12" t="n">
        <v>1403</v>
      </c>
      <c r="I51" s="12" t="n">
        <v>2528</v>
      </c>
      <c r="J51" s="12">
        <f>H51+I51</f>
        <v/>
      </c>
      <c r="K51" s="9" t="n">
        <v>6</v>
      </c>
      <c r="L51" s="10" t="inlineStr">
        <is>
          <t>Cyan 951, Blue 743, Yellow 736, Orange 567, Brown 495, White 439</t>
        </is>
      </c>
      <c r="M51" s="12" t="n">
        <v>31</v>
      </c>
      <c r="N51" s="9" t="n">
        <v>6</v>
      </c>
      <c r="O51" s="9" t="n">
        <v>2</v>
      </c>
      <c r="P51" s="9" t="n">
        <v>3</v>
      </c>
      <c r="Q51" s="9" t="n">
        <v>3</v>
      </c>
      <c r="R51" s="9" t="n">
        <v>3</v>
      </c>
      <c r="S51" s="9" t="n">
        <v>2</v>
      </c>
      <c r="T51" s="10" t="inlineStr">
        <is>
          <t>Xe "?", Hầm, Lock &amp; Key, Xe đóng băng, Xe nối dây</t>
        </is>
      </c>
    </row>
    <row r="52">
      <c r="A52" s="5" t="inlineStr">
        <is>
          <t>Tổng</t>
        </is>
      </c>
      <c r="H52" s="16">
        <f>SUM(H2:H51)</f>
        <v/>
      </c>
      <c r="I52" s="16">
        <f>SUM(I2:I51)</f>
        <v/>
      </c>
      <c r="J52" s="16">
        <f>SUM(J2:J51)</f>
        <v/>
      </c>
      <c r="K52" s="17">
        <f>AVERAGE(K2:K51)</f>
        <v/>
      </c>
      <c r="M52" s="16">
        <f>SUM(M2:M51)</f>
        <v/>
      </c>
      <c r="N52" s="16">
        <f>SUM(N2:N51)</f>
        <v/>
      </c>
      <c r="O52" s="16">
        <f>SUM(O2:O51)</f>
        <v/>
      </c>
      <c r="P52" s="16">
        <f>SUM(P2:P51)</f>
        <v/>
      </c>
      <c r="Q52" s="16">
        <f>SUM(Q2:Q51)</f>
        <v/>
      </c>
      <c r="R52" s="16">
        <f>SUM(R2:R51)</f>
        <v/>
      </c>
      <c r="S52" s="16">
        <f>SUM(S2:S51)</f>
        <v/>
      </c>
    </row>
    <row r="54">
      <c r="A54" s="6" t="inlineStr">
        <is>
          <t>Ghi chú: số liệu đọc từ bản build hiện tại (seed + núm độ khó sau lượt tune gần nhất). "Khách ẩn phía trên" là khách chờ ngoài màn hình, đổ xuống dần khi chơi. Ô Số màu ở dòng Tổng là trung bình.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0" customWidth="1" min="5" max="5"/>
  </cols>
  <sheetData>
    <row r="1">
      <c r="A1" s="2" t="inlineStr">
        <is>
          <t>Độ khó</t>
        </is>
      </c>
      <c r="B1" s="2" t="inlineStr">
        <is>
          <t>Số level</t>
        </is>
      </c>
      <c r="C1" s="2" t="inlineStr">
        <is>
          <t>Khách TB / level</t>
        </is>
      </c>
      <c r="D1" s="2" t="inlineStr">
        <is>
          <t>Số màu TB</t>
        </is>
      </c>
      <c r="E1" s="2" t="inlineStr">
        <is>
          <t>Số xe TB</t>
        </is>
      </c>
    </row>
    <row r="2">
      <c r="A2" s="18" t="inlineStr">
        <is>
          <t>Dễ</t>
        </is>
      </c>
      <c r="B2" s="19">
        <f>COUNTIF(Level!C2:C51,A2)</f>
        <v/>
      </c>
      <c r="C2" s="19">
        <f>AVERAGEIF(Level!C2:C51,A2,Level!J2:J51)</f>
        <v/>
      </c>
      <c r="D2" s="18">
        <f>AVERAGEIF(Level!C2:C51,A2,Level!K2:K51)</f>
        <v/>
      </c>
      <c r="E2" s="18">
        <f>AVERAGEIF(Level!C2:C51,A2,Level!M2:M51)</f>
        <v/>
      </c>
    </row>
    <row r="3">
      <c r="A3" s="18" t="inlineStr">
        <is>
          <t>Thường</t>
        </is>
      </c>
      <c r="B3" s="19">
        <f>COUNTIF(Level!C2:C51,A3)</f>
        <v/>
      </c>
      <c r="C3" s="19">
        <f>AVERAGEIF(Level!C2:C51,A3,Level!J2:J51)</f>
        <v/>
      </c>
      <c r="D3" s="18">
        <f>AVERAGEIF(Level!C2:C51,A3,Level!K2:K51)</f>
        <v/>
      </c>
      <c r="E3" s="18">
        <f>AVERAGEIF(Level!C2:C51,A3,Level!M2:M51)</f>
        <v/>
      </c>
    </row>
    <row r="4">
      <c r="A4" s="18" t="inlineStr">
        <is>
          <t>Khó</t>
        </is>
      </c>
      <c r="B4" s="19">
        <f>COUNTIF(Level!C2:C51,A4)</f>
        <v/>
      </c>
      <c r="C4" s="19">
        <f>AVERAGEIF(Level!C2:C51,A4,Level!J2:J51)</f>
        <v/>
      </c>
      <c r="D4" s="18">
        <f>AVERAGEIF(Level!C2:C51,A4,Level!K2:K51)</f>
        <v/>
      </c>
      <c r="E4" s="18">
        <f>AVERAGEIF(Level!C2:C51,A4,Level!M2:M51)</f>
        <v/>
      </c>
    </row>
    <row r="5">
      <c r="A5" s="18" t="inlineStr">
        <is>
          <t>Siêu khó</t>
        </is>
      </c>
      <c r="B5" s="19">
        <f>COUNTIF(Level!C2:C51,A5)</f>
        <v/>
      </c>
      <c r="C5" s="19">
        <f>AVERAGEIF(Level!C2:C51,A5,Level!J2:J51)</f>
        <v/>
      </c>
      <c r="D5" s="18">
        <f>AVERAGEIF(Level!C2:C51,A5,Level!K2:K51)</f>
        <v/>
      </c>
      <c r="E5" s="18">
        <f>AVERAGEIF(Level!C2:C51,A5,Level!M2:M51)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2026-10-11T11:26:30Z</dcterms:created>
  <dcterms:modified xsi:type="dcterms:W3CDTF">2026-10-11T11:26:31Z</dcterms:modified>
</cp:coreProperties>
</file>